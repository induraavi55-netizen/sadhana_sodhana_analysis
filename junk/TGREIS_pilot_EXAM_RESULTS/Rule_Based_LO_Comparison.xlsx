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E:\Automation_sadhana_sodhana\"/>
    </mc:Choice>
  </mc:AlternateContent>
  <xr:revisionPtr revIDLastSave="0" documentId="13_ncr:1_{67A2B7BC-10E5-4A6A-B47A-27843432060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mat" sheetId="5" r:id="rId2"/>
    <sheet name="sci" sheetId="4" r:id="rId3"/>
    <sheet name="eng" sheetId="2" r:id="rId4"/>
  </sheets>
  <definedNames>
    <definedName name="_xlnm._FilterDatabase" localSheetId="0" hidden="1">Sheet1!$A$1:$P$40</definedName>
  </definedNames>
  <calcPr calcId="191029"/>
  <pivotCaches>
    <pivotCache cacheId="5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2" l="1"/>
  <c r="F16" i="2"/>
  <c r="E16" i="2"/>
  <c r="D16" i="2"/>
  <c r="C16" i="2"/>
  <c r="B16" i="2"/>
</calcChain>
</file>

<file path=xl/sharedStrings.xml><?xml version="1.0" encoding="utf-8"?>
<sst xmlns="http://schemas.openxmlformats.org/spreadsheetml/2006/main" count="177" uniqueCount="74">
  <si>
    <t>School</t>
  </si>
  <si>
    <t>Date</t>
  </si>
  <si>
    <t>LO</t>
  </si>
  <si>
    <t>Manager Absent (%)</t>
  </si>
  <si>
    <t>Manager Present (%)</t>
  </si>
  <si>
    <t>TGR Institution Girls  Tandur</t>
  </si>
  <si>
    <t>TGR Institution Girls  Vikarabad</t>
  </si>
  <si>
    <t>TGR Institution Girls Siddipet</t>
  </si>
  <si>
    <t>schoolname2</t>
  </si>
  <si>
    <t>Column Labels</t>
  </si>
  <si>
    <t>Grand Total</t>
  </si>
  <si>
    <t>Row Labels</t>
  </si>
  <si>
    <t>Total Average of Manager Absent (%)</t>
  </si>
  <si>
    <t>Average of Manager Absent (%)</t>
  </si>
  <si>
    <t>LEARNING OUTCOMES</t>
  </si>
  <si>
    <t>Perf when Manager Absent (%)</t>
  </si>
  <si>
    <t>Perf when Manager Present (%)</t>
  </si>
  <si>
    <t>Perf when  Manager Absent (%)</t>
  </si>
  <si>
    <t xml:space="preserve">Article  </t>
  </si>
  <si>
    <t xml:space="preserve">Preposition  </t>
  </si>
  <si>
    <t xml:space="preserve">Punctuation  </t>
  </si>
  <si>
    <t xml:space="preserve">Synonym  </t>
  </si>
  <si>
    <t xml:space="preserve">Literal Comprehension  </t>
  </si>
  <si>
    <t xml:space="preserve">Narrative Coherence  </t>
  </si>
  <si>
    <t xml:space="preserve">Word Meaning &amp; Usage  </t>
  </si>
  <si>
    <t xml:space="preserve">Text Comparison  </t>
  </si>
  <si>
    <t xml:space="preserve">Inference with Evidence  </t>
  </si>
  <si>
    <t xml:space="preserve">Prediction  </t>
  </si>
  <si>
    <t xml:space="preserve">Detail Retrieval  </t>
  </si>
  <si>
    <t xml:space="preserve">Summarising  </t>
  </si>
  <si>
    <t xml:space="preserve">Verb  </t>
  </si>
  <si>
    <t>Average perf</t>
  </si>
  <si>
    <t>Total Average of Manager Present (%)</t>
  </si>
  <si>
    <t>Average of Manager Present (%)</t>
  </si>
  <si>
    <t xml:space="preserve">Acids &amp; Bases  </t>
  </si>
  <si>
    <t xml:space="preserve">Climate  </t>
  </si>
  <si>
    <t xml:space="preserve">Climate &amp; Adaptation  </t>
  </si>
  <si>
    <t xml:space="preserve">Heating Effect  </t>
  </si>
  <si>
    <t xml:space="preserve">Hot &amp; Cold  </t>
  </si>
  <si>
    <t xml:space="preserve">Measuring Speed  </t>
  </si>
  <si>
    <t xml:space="preserve">Measuring Temperature  </t>
  </si>
  <si>
    <t xml:space="preserve">Reproduction Modes  </t>
  </si>
  <si>
    <t xml:space="preserve">Photosynthesis  </t>
  </si>
  <si>
    <t xml:space="preserve">Reflection of Light  </t>
  </si>
  <si>
    <t xml:space="preserve">Seed Dispersal  </t>
  </si>
  <si>
    <t xml:space="preserve">Silk  </t>
  </si>
  <si>
    <t xml:space="preserve">Nutrients &amp; Body  </t>
  </si>
  <si>
    <t xml:space="preserve">Respiration  </t>
  </si>
  <si>
    <t xml:space="preserve">Wind Currents  </t>
  </si>
  <si>
    <t>Learning outcomes</t>
  </si>
  <si>
    <t>Applications of simple Equations to Practical situations</t>
  </si>
  <si>
    <t>Checking for Parallel Lines</t>
  </si>
  <si>
    <t>Circle Graph or Pie Chart</t>
  </si>
  <si>
    <t>Division of decimal numbers</t>
  </si>
  <si>
    <t>Mode</t>
  </si>
  <si>
    <t>Operations on Rational Numbers</t>
  </si>
  <si>
    <t>Pairs of Lines</t>
  </si>
  <si>
    <t>Properties of addition and subtraction of Integers</t>
  </si>
  <si>
    <t>Setting up of an Equation</t>
  </si>
  <si>
    <t>Sum of the lengths of two sides of a Triangle</t>
  </si>
  <si>
    <t>Two special Triangles : Equilateral and Isosceles</t>
  </si>
  <si>
    <t>Use of Percentages</t>
  </si>
  <si>
    <t xml:space="preserve">Simple Equation Applications  </t>
  </si>
  <si>
    <t xml:space="preserve">Parallel Lines  </t>
  </si>
  <si>
    <t xml:space="preserve">Pie Chart  </t>
  </si>
  <si>
    <t xml:space="preserve">Decimal Division  </t>
  </si>
  <si>
    <t xml:space="preserve">Mode  </t>
  </si>
  <si>
    <t xml:space="preserve">Rational Numbers  </t>
  </si>
  <si>
    <t xml:space="preserve">Line Pairs  </t>
  </si>
  <si>
    <t xml:space="preserve">Integer Properties  </t>
  </si>
  <si>
    <t xml:space="preserve">Forming Equations  </t>
  </si>
  <si>
    <t xml:space="preserve">Triangle Side Sum  </t>
  </si>
  <si>
    <t xml:space="preserve">Special Triangles  </t>
  </si>
  <si>
    <t xml:space="preserve">Percentages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</si>
</sst>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1" fontId="0" fillId="0" borderId="1" xfId="0" applyNumberFormat="1" applyBorder="1" applyAlignment="1">
      <alignment wrapText="1"/>
    </xf>
    <xf numFmtId="0" fontId="2" fillId="5" borderId="1" xfId="0" applyFont="1" applyFill="1" applyBorder="1" applyAlignment="1">
      <alignment wrapText="1"/>
    </xf>
    <xf numFmtId="1" fontId="2" fillId="5" borderId="1" xfId="0" applyNumberFormat="1" applyFont="1" applyFill="1" applyBorder="1" applyAlignment="1">
      <alignment wrapText="1"/>
    </xf>
    <xf numFmtId="0" fontId="2" fillId="0" borderId="0" xfId="0" applyFont="1"/>
    <xf numFmtId="0" fontId="0" fillId="0" borderId="0" xfId="0" applyAlignment="1"/>
    <xf numFmtId="0" fontId="0" fillId="5" borderId="0" xfId="0" applyFill="1"/>
    <xf numFmtId="0" fontId="2" fillId="2" borderId="1" xfId="0" applyFont="1" applyFill="1" applyBorder="1"/>
    <xf numFmtId="1" fontId="0" fillId="0" borderId="1" xfId="0" applyNumberFormat="1" applyBorder="1"/>
    <xf numFmtId="0" fontId="0" fillId="5" borderId="1" xfId="0" applyFill="1" applyBorder="1"/>
    <xf numFmtId="1" fontId="0" fillId="5" borderId="1" xfId="0" applyNumberFormat="1" applyFill="1" applyBorder="1"/>
    <xf numFmtId="0" fontId="2" fillId="5" borderId="0" xfId="0" applyFont="1" applyFill="1"/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/>
    <xf numFmtId="1" fontId="2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mat!$B$1:$B$2</c:f>
              <c:strCache>
                <c:ptCount val="2"/>
                <c:pt idx="0">
                  <c:v>TGR Institution Girls  Tandur</c:v>
                </c:pt>
                <c:pt idx="1">
                  <c:v>Average of Manager Absent (%)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mat!$A$3:$A$15</c:f>
              <c:strCache>
                <c:ptCount val="13"/>
                <c:pt idx="0">
                  <c:v>Simple Equation Applications  </c:v>
                </c:pt>
                <c:pt idx="1">
                  <c:v>Parallel Lines  </c:v>
                </c:pt>
                <c:pt idx="2">
                  <c:v>Pie Chart  </c:v>
                </c:pt>
                <c:pt idx="3">
                  <c:v>Decimal Division  </c:v>
                </c:pt>
                <c:pt idx="4">
                  <c:v>Mode  </c:v>
                </c:pt>
                <c:pt idx="5">
                  <c:v>Rational Numbers  </c:v>
                </c:pt>
                <c:pt idx="6">
                  <c:v>Line Pairs  </c:v>
                </c:pt>
                <c:pt idx="7">
                  <c:v>Integer Properties  </c:v>
                </c:pt>
                <c:pt idx="8">
                  <c:v>Forming Equations  </c:v>
                </c:pt>
                <c:pt idx="9">
                  <c:v>Triangle Side Sum  </c:v>
                </c:pt>
                <c:pt idx="10">
                  <c:v>Special Triangles  </c:v>
                </c:pt>
                <c:pt idx="11">
                  <c:v>Percentages  </c:v>
                </c:pt>
                <c:pt idx="12">
                  <c:v>Grand Total</c:v>
                </c:pt>
              </c:strCache>
            </c:strRef>
          </c:cat>
          <c:val>
            <c:numRef>
              <c:f>mat!$B$3:$B$15</c:f>
              <c:numCache>
                <c:formatCode>0</c:formatCode>
                <c:ptCount val="13"/>
                <c:pt idx="0">
                  <c:v>87.5</c:v>
                </c:pt>
                <c:pt idx="1">
                  <c:v>25</c:v>
                </c:pt>
                <c:pt idx="2">
                  <c:v>75</c:v>
                </c:pt>
                <c:pt idx="3">
                  <c:v>37.5</c:v>
                </c:pt>
                <c:pt idx="4">
                  <c:v>100</c:v>
                </c:pt>
                <c:pt idx="5">
                  <c:v>56.25</c:v>
                </c:pt>
                <c:pt idx="6">
                  <c:v>75</c:v>
                </c:pt>
                <c:pt idx="7">
                  <c:v>75</c:v>
                </c:pt>
                <c:pt idx="8">
                  <c:v>100</c:v>
                </c:pt>
                <c:pt idx="9">
                  <c:v>25</c:v>
                </c:pt>
                <c:pt idx="10">
                  <c:v>62.5</c:v>
                </c:pt>
                <c:pt idx="11">
                  <c:v>62.5</c:v>
                </c:pt>
                <c:pt idx="12">
                  <c:v>65.104166666666671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7-4094-A226-9F309C74296D}"/>
            </c:ext>
          </c:extLst>
        </c:ser>
        <c:ser>
          <c:idx val="1"/>
          <c:order val="1"/>
          <c:tx>
            <c:strRef>
              <c:f>mat!$C$1:$C$2</c:f>
              <c:strCache>
                <c:ptCount val="2"/>
                <c:pt idx="0">
                  <c:v>TGR Institution Girls  Tandur</c:v>
                </c:pt>
                <c:pt idx="1">
                  <c:v>Average of Manager Present (%)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mat!$A$3:$A$15</c:f>
              <c:strCache>
                <c:ptCount val="13"/>
                <c:pt idx="0">
                  <c:v>Simple Equation Applications  </c:v>
                </c:pt>
                <c:pt idx="1">
                  <c:v>Parallel Lines  </c:v>
                </c:pt>
                <c:pt idx="2">
                  <c:v>Pie Chart  </c:v>
                </c:pt>
                <c:pt idx="3">
                  <c:v>Decimal Division  </c:v>
                </c:pt>
                <c:pt idx="4">
                  <c:v>Mode  </c:v>
                </c:pt>
                <c:pt idx="5">
                  <c:v>Rational Numbers  </c:v>
                </c:pt>
                <c:pt idx="6">
                  <c:v>Line Pairs  </c:v>
                </c:pt>
                <c:pt idx="7">
                  <c:v>Integer Properties  </c:v>
                </c:pt>
                <c:pt idx="8">
                  <c:v>Forming Equations  </c:v>
                </c:pt>
                <c:pt idx="9">
                  <c:v>Triangle Side Sum  </c:v>
                </c:pt>
                <c:pt idx="10">
                  <c:v>Special Triangles  </c:v>
                </c:pt>
                <c:pt idx="11">
                  <c:v>Percentages  </c:v>
                </c:pt>
                <c:pt idx="12">
                  <c:v>Grand Total</c:v>
                </c:pt>
              </c:strCache>
            </c:strRef>
          </c:cat>
          <c:val>
            <c:numRef>
              <c:f>mat!$C$3:$C$15</c:f>
              <c:numCache>
                <c:formatCode>0</c:formatCode>
                <c:ptCount val="13"/>
                <c:pt idx="0">
                  <c:v>48</c:v>
                </c:pt>
                <c:pt idx="1">
                  <c:v>76</c:v>
                </c:pt>
                <c:pt idx="2">
                  <c:v>76</c:v>
                </c:pt>
                <c:pt idx="3">
                  <c:v>44</c:v>
                </c:pt>
                <c:pt idx="4">
                  <c:v>96</c:v>
                </c:pt>
                <c:pt idx="5">
                  <c:v>82</c:v>
                </c:pt>
                <c:pt idx="6">
                  <c:v>72</c:v>
                </c:pt>
                <c:pt idx="7">
                  <c:v>80</c:v>
                </c:pt>
                <c:pt idx="8">
                  <c:v>84</c:v>
                </c:pt>
                <c:pt idx="9">
                  <c:v>52</c:v>
                </c:pt>
                <c:pt idx="10">
                  <c:v>80</c:v>
                </c:pt>
                <c:pt idx="11">
                  <c:v>36</c:v>
                </c:pt>
                <c:pt idx="12">
                  <c:v>68.833333333333329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97-4094-A226-9F309C7429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1501151"/>
        <c:axId val="1721502111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mat!$D$1:$D$2</c15:sqref>
                        </c15:formulaRef>
                      </c:ext>
                    </c:extLst>
                    <c:strCache>
                      <c:ptCount val="2"/>
                      <c:pt idx="0">
                        <c:v>TGR Institution Girls  Vikarabad</c:v>
                      </c:pt>
                      <c:pt idx="1">
                        <c:v>Average of Manager Absent (%)</c:v>
                      </c:pt>
                    </c:strCache>
                  </c:strRef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mat!$A$3:$A$15</c15:sqref>
                        </c15:formulaRef>
                      </c:ext>
                    </c:extLst>
                    <c:strCache>
                      <c:ptCount val="13"/>
                      <c:pt idx="0">
                        <c:v>Simple Equation Applications  </c:v>
                      </c:pt>
                      <c:pt idx="1">
                        <c:v>Parallel Lines  </c:v>
                      </c:pt>
                      <c:pt idx="2">
                        <c:v>Pie Chart  </c:v>
                      </c:pt>
                      <c:pt idx="3">
                        <c:v>Decimal Division  </c:v>
                      </c:pt>
                      <c:pt idx="4">
                        <c:v>Mode  </c:v>
                      </c:pt>
                      <c:pt idx="5">
                        <c:v>Rational Numbers  </c:v>
                      </c:pt>
                      <c:pt idx="6">
                        <c:v>Line Pairs  </c:v>
                      </c:pt>
                      <c:pt idx="7">
                        <c:v>Integer Properties  </c:v>
                      </c:pt>
                      <c:pt idx="8">
                        <c:v>Forming Equations  </c:v>
                      </c:pt>
                      <c:pt idx="9">
                        <c:v>Triangle Side Sum  </c:v>
                      </c:pt>
                      <c:pt idx="10">
                        <c:v>Special Triangles  </c:v>
                      </c:pt>
                      <c:pt idx="11">
                        <c:v>Percentages  </c:v>
                      </c:pt>
                      <c:pt idx="12">
                        <c:v>Grand 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mat!$D$3:$D$15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23.81</c:v>
                      </c:pt>
                      <c:pt idx="1">
                        <c:v>42.86</c:v>
                      </c:pt>
                      <c:pt idx="2">
                        <c:v>33.33</c:v>
                      </c:pt>
                      <c:pt idx="3">
                        <c:v>42.86</c:v>
                      </c:pt>
                      <c:pt idx="4">
                        <c:v>90.48</c:v>
                      </c:pt>
                      <c:pt idx="5">
                        <c:v>57.14</c:v>
                      </c:pt>
                      <c:pt idx="6">
                        <c:v>38.1</c:v>
                      </c:pt>
                      <c:pt idx="7">
                        <c:v>33.33</c:v>
                      </c:pt>
                      <c:pt idx="8">
                        <c:v>61.9</c:v>
                      </c:pt>
                      <c:pt idx="9">
                        <c:v>23.81</c:v>
                      </c:pt>
                      <c:pt idx="10">
                        <c:v>71.430000000000007</c:v>
                      </c:pt>
                      <c:pt idx="11">
                        <c:v>15.87</c:v>
                      </c:pt>
                      <c:pt idx="12">
                        <c:v>44.576666666666661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297-4094-A226-9F309C74296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mat!$E$1:$E$2</c15:sqref>
                        </c15:formulaRef>
                      </c:ext>
                    </c:extLst>
                    <c:strCache>
                      <c:ptCount val="2"/>
                      <c:pt idx="0">
                        <c:v>TGR Institution Girls  Vikarabad</c:v>
                      </c:pt>
                      <c:pt idx="1">
                        <c:v>Average of Manager Present (%)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mat!$A$3:$A$15</c15:sqref>
                        </c15:formulaRef>
                      </c:ext>
                    </c:extLst>
                    <c:strCache>
                      <c:ptCount val="13"/>
                      <c:pt idx="0">
                        <c:v>Simple Equation Applications  </c:v>
                      </c:pt>
                      <c:pt idx="1">
                        <c:v>Parallel Lines  </c:v>
                      </c:pt>
                      <c:pt idx="2">
                        <c:v>Pie Chart  </c:v>
                      </c:pt>
                      <c:pt idx="3">
                        <c:v>Decimal Division  </c:v>
                      </c:pt>
                      <c:pt idx="4">
                        <c:v>Mode  </c:v>
                      </c:pt>
                      <c:pt idx="5">
                        <c:v>Rational Numbers  </c:v>
                      </c:pt>
                      <c:pt idx="6">
                        <c:v>Line Pairs  </c:v>
                      </c:pt>
                      <c:pt idx="7">
                        <c:v>Integer Properties  </c:v>
                      </c:pt>
                      <c:pt idx="8">
                        <c:v>Forming Equations  </c:v>
                      </c:pt>
                      <c:pt idx="9">
                        <c:v>Triangle Side Sum  </c:v>
                      </c:pt>
                      <c:pt idx="10">
                        <c:v>Special Triangles  </c:v>
                      </c:pt>
                      <c:pt idx="11">
                        <c:v>Percentages  </c:v>
                      </c:pt>
                      <c:pt idx="12">
                        <c:v>Grand Total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mat!$E$3:$E$15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20</c:v>
                      </c:pt>
                      <c:pt idx="1">
                        <c:v>40</c:v>
                      </c:pt>
                      <c:pt idx="2">
                        <c:v>28</c:v>
                      </c:pt>
                      <c:pt idx="3">
                        <c:v>36</c:v>
                      </c:pt>
                      <c:pt idx="4">
                        <c:v>60</c:v>
                      </c:pt>
                      <c:pt idx="5">
                        <c:v>50</c:v>
                      </c:pt>
                      <c:pt idx="6">
                        <c:v>32</c:v>
                      </c:pt>
                      <c:pt idx="7">
                        <c:v>40</c:v>
                      </c:pt>
                      <c:pt idx="8">
                        <c:v>28</c:v>
                      </c:pt>
                      <c:pt idx="9">
                        <c:v>32</c:v>
                      </c:pt>
                      <c:pt idx="10">
                        <c:v>56</c:v>
                      </c:pt>
                      <c:pt idx="11">
                        <c:v>10.67</c:v>
                      </c:pt>
                      <c:pt idx="12">
                        <c:v>36.055833333333332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B297-4094-A226-9F309C74296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mat!$F$1:$F$2</c15:sqref>
                        </c15:formulaRef>
                      </c:ext>
                    </c:extLst>
                    <c:strCache>
                      <c:ptCount val="2"/>
                      <c:pt idx="0">
                        <c:v>TGR Institution Girls Siddipet</c:v>
                      </c:pt>
                      <c:pt idx="1">
                        <c:v>Average of Manager Absent (%)</c:v>
                      </c:pt>
                    </c:strCache>
                  </c:strRef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mat!$A$3:$A$15</c15:sqref>
                        </c15:formulaRef>
                      </c:ext>
                    </c:extLst>
                    <c:strCache>
                      <c:ptCount val="13"/>
                      <c:pt idx="0">
                        <c:v>Simple Equation Applications  </c:v>
                      </c:pt>
                      <c:pt idx="1">
                        <c:v>Parallel Lines  </c:v>
                      </c:pt>
                      <c:pt idx="2">
                        <c:v>Pie Chart  </c:v>
                      </c:pt>
                      <c:pt idx="3">
                        <c:v>Decimal Division  </c:v>
                      </c:pt>
                      <c:pt idx="4">
                        <c:v>Mode  </c:v>
                      </c:pt>
                      <c:pt idx="5">
                        <c:v>Rational Numbers  </c:v>
                      </c:pt>
                      <c:pt idx="6">
                        <c:v>Line Pairs  </c:v>
                      </c:pt>
                      <c:pt idx="7">
                        <c:v>Integer Properties  </c:v>
                      </c:pt>
                      <c:pt idx="8">
                        <c:v>Forming Equations  </c:v>
                      </c:pt>
                      <c:pt idx="9">
                        <c:v>Triangle Side Sum  </c:v>
                      </c:pt>
                      <c:pt idx="10">
                        <c:v>Special Triangles  </c:v>
                      </c:pt>
                      <c:pt idx="11">
                        <c:v>Percentages  </c:v>
                      </c:pt>
                      <c:pt idx="12">
                        <c:v>Grand Total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mat!$F$3:$F$15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70</c:v>
                      </c:pt>
                      <c:pt idx="1">
                        <c:v>70</c:v>
                      </c:pt>
                      <c:pt idx="2">
                        <c:v>80</c:v>
                      </c:pt>
                      <c:pt idx="3">
                        <c:v>80</c:v>
                      </c:pt>
                      <c:pt idx="4">
                        <c:v>70</c:v>
                      </c:pt>
                      <c:pt idx="5">
                        <c:v>80</c:v>
                      </c:pt>
                      <c:pt idx="6">
                        <c:v>80</c:v>
                      </c:pt>
                      <c:pt idx="7">
                        <c:v>80</c:v>
                      </c:pt>
                      <c:pt idx="8">
                        <c:v>80</c:v>
                      </c:pt>
                      <c:pt idx="9">
                        <c:v>90</c:v>
                      </c:pt>
                      <c:pt idx="10">
                        <c:v>80</c:v>
                      </c:pt>
                      <c:pt idx="11">
                        <c:v>40</c:v>
                      </c:pt>
                      <c:pt idx="12">
                        <c:v>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B297-4094-A226-9F309C74296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mat!$G$1:$G$2</c15:sqref>
                        </c15:formulaRef>
                      </c:ext>
                    </c:extLst>
                    <c:strCache>
                      <c:ptCount val="2"/>
                      <c:pt idx="0">
                        <c:v>TGR Institution Girls Siddipet</c:v>
                      </c:pt>
                      <c:pt idx="1">
                        <c:v>Average of Manager Present (%)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mat!$A$3:$A$15</c15:sqref>
                        </c15:formulaRef>
                      </c:ext>
                    </c:extLst>
                    <c:strCache>
                      <c:ptCount val="13"/>
                      <c:pt idx="0">
                        <c:v>Simple Equation Applications  </c:v>
                      </c:pt>
                      <c:pt idx="1">
                        <c:v>Parallel Lines  </c:v>
                      </c:pt>
                      <c:pt idx="2">
                        <c:v>Pie Chart  </c:v>
                      </c:pt>
                      <c:pt idx="3">
                        <c:v>Decimal Division  </c:v>
                      </c:pt>
                      <c:pt idx="4">
                        <c:v>Mode  </c:v>
                      </c:pt>
                      <c:pt idx="5">
                        <c:v>Rational Numbers  </c:v>
                      </c:pt>
                      <c:pt idx="6">
                        <c:v>Line Pairs  </c:v>
                      </c:pt>
                      <c:pt idx="7">
                        <c:v>Integer Properties  </c:v>
                      </c:pt>
                      <c:pt idx="8">
                        <c:v>Forming Equations  </c:v>
                      </c:pt>
                      <c:pt idx="9">
                        <c:v>Triangle Side Sum  </c:v>
                      </c:pt>
                      <c:pt idx="10">
                        <c:v>Special Triangles  </c:v>
                      </c:pt>
                      <c:pt idx="11">
                        <c:v>Percentages  </c:v>
                      </c:pt>
                      <c:pt idx="12">
                        <c:v>Grand Total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mat!$G$3:$G$15</c15:sqref>
                        </c15:formulaRef>
                      </c:ext>
                    </c:extLst>
                    <c:numCache>
                      <c:formatCode>0</c:formatCode>
                      <c:ptCount val="13"/>
                      <c:pt idx="0">
                        <c:v>31.03</c:v>
                      </c:pt>
                      <c:pt idx="1">
                        <c:v>48.28</c:v>
                      </c:pt>
                      <c:pt idx="2">
                        <c:v>31.03</c:v>
                      </c:pt>
                      <c:pt idx="3">
                        <c:v>51.72</c:v>
                      </c:pt>
                      <c:pt idx="4">
                        <c:v>44.83</c:v>
                      </c:pt>
                      <c:pt idx="5">
                        <c:v>56.9</c:v>
                      </c:pt>
                      <c:pt idx="6">
                        <c:v>48.28</c:v>
                      </c:pt>
                      <c:pt idx="7">
                        <c:v>44.83</c:v>
                      </c:pt>
                      <c:pt idx="8">
                        <c:v>48.28</c:v>
                      </c:pt>
                      <c:pt idx="9">
                        <c:v>10.34</c:v>
                      </c:pt>
                      <c:pt idx="10">
                        <c:v>41.38</c:v>
                      </c:pt>
                      <c:pt idx="11">
                        <c:v>28.74</c:v>
                      </c:pt>
                      <c:pt idx="12">
                        <c:v>40.469999999999992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B297-4094-A226-9F309C74296D}"/>
                  </c:ext>
                </c:extLst>
              </c15:ser>
            </c15:filteredBarSeries>
          </c:ext>
        </c:extLst>
      </c:barChart>
      <c:catAx>
        <c:axId val="172150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502111"/>
        <c:crosses val="autoZero"/>
        <c:auto val="1"/>
        <c:lblAlgn val="ctr"/>
        <c:lblOffset val="100"/>
        <c:noMultiLvlLbl val="0"/>
      </c:catAx>
      <c:valAx>
        <c:axId val="172150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50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sci!$B$1:$B$2</c:f>
              <c:strCache>
                <c:ptCount val="2"/>
                <c:pt idx="0">
                  <c:v>TGR Institution Girls  Tandur</c:v>
                </c:pt>
                <c:pt idx="1">
                  <c:v>Average of Manager Absent (%)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sci!$A$3:$A$18</c:f>
              <c:strCache>
                <c:ptCount val="16"/>
                <c:pt idx="0">
                  <c:v>Acids &amp; Bases  </c:v>
                </c:pt>
                <c:pt idx="1">
                  <c:v>Climate  </c:v>
                </c:pt>
                <c:pt idx="2">
                  <c:v>Climate &amp; Adaptation  </c:v>
                </c:pt>
                <c:pt idx="3">
                  <c:v>Heating Effect  </c:v>
                </c:pt>
                <c:pt idx="4">
                  <c:v>Hot &amp; Cold  </c:v>
                </c:pt>
                <c:pt idx="5">
                  <c:v>Measuring Speed  </c:v>
                </c:pt>
                <c:pt idx="6">
                  <c:v>Measuring Temperature  </c:v>
                </c:pt>
                <c:pt idx="7">
                  <c:v>Reproduction Modes  </c:v>
                </c:pt>
                <c:pt idx="8">
                  <c:v>Photosynthesis  </c:v>
                </c:pt>
                <c:pt idx="9">
                  <c:v>Reflection of Light  </c:v>
                </c:pt>
                <c:pt idx="10">
                  <c:v>Seed Dispersal  </c:v>
                </c:pt>
                <c:pt idx="11">
                  <c:v>Silk  </c:v>
                </c:pt>
                <c:pt idx="12">
                  <c:v>Nutrients &amp; Body  </c:v>
                </c:pt>
                <c:pt idx="13">
                  <c:v>Respiration  </c:v>
                </c:pt>
                <c:pt idx="14">
                  <c:v>Wind Currents  </c:v>
                </c:pt>
                <c:pt idx="15">
                  <c:v>Grand Total</c:v>
                </c:pt>
              </c:strCache>
            </c:strRef>
          </c:cat>
          <c:val>
            <c:numRef>
              <c:f>sci!$B$3:$B$18</c:f>
              <c:numCache>
                <c:formatCode>0</c:formatCode>
                <c:ptCount val="16"/>
                <c:pt idx="0">
                  <c:v>87.5</c:v>
                </c:pt>
                <c:pt idx="1">
                  <c:v>62.5</c:v>
                </c:pt>
                <c:pt idx="2">
                  <c:v>87.5</c:v>
                </c:pt>
                <c:pt idx="3">
                  <c:v>12.5</c:v>
                </c:pt>
                <c:pt idx="4">
                  <c:v>75</c:v>
                </c:pt>
                <c:pt idx="5">
                  <c:v>100</c:v>
                </c:pt>
                <c:pt idx="6">
                  <c:v>12.5</c:v>
                </c:pt>
                <c:pt idx="7">
                  <c:v>87.5</c:v>
                </c:pt>
                <c:pt idx="8">
                  <c:v>87.5</c:v>
                </c:pt>
                <c:pt idx="9">
                  <c:v>0</c:v>
                </c:pt>
                <c:pt idx="10">
                  <c:v>87.5</c:v>
                </c:pt>
                <c:pt idx="11">
                  <c:v>12.5</c:v>
                </c:pt>
                <c:pt idx="12">
                  <c:v>100</c:v>
                </c:pt>
                <c:pt idx="13">
                  <c:v>0</c:v>
                </c:pt>
                <c:pt idx="14">
                  <c:v>87.5</c:v>
                </c:pt>
                <c:pt idx="1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2-4376-8ED8-10F439CC55F3}"/>
            </c:ext>
          </c:extLst>
        </c:ser>
        <c:ser>
          <c:idx val="1"/>
          <c:order val="1"/>
          <c:tx>
            <c:strRef>
              <c:f>sci!$C$1:$C$2</c:f>
              <c:strCache>
                <c:ptCount val="2"/>
                <c:pt idx="0">
                  <c:v>TGR Institution Girls  Tandur</c:v>
                </c:pt>
                <c:pt idx="1">
                  <c:v>Average of Manager Present (%)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sci!$A$3:$A$18</c:f>
              <c:strCache>
                <c:ptCount val="16"/>
                <c:pt idx="0">
                  <c:v>Acids &amp; Bases  </c:v>
                </c:pt>
                <c:pt idx="1">
                  <c:v>Climate  </c:v>
                </c:pt>
                <c:pt idx="2">
                  <c:v>Climate &amp; Adaptation  </c:v>
                </c:pt>
                <c:pt idx="3">
                  <c:v>Heating Effect  </c:v>
                </c:pt>
                <c:pt idx="4">
                  <c:v>Hot &amp; Cold  </c:v>
                </c:pt>
                <c:pt idx="5">
                  <c:v>Measuring Speed  </c:v>
                </c:pt>
                <c:pt idx="6">
                  <c:v>Measuring Temperature  </c:v>
                </c:pt>
                <c:pt idx="7">
                  <c:v>Reproduction Modes  </c:v>
                </c:pt>
                <c:pt idx="8">
                  <c:v>Photosynthesis  </c:v>
                </c:pt>
                <c:pt idx="9">
                  <c:v>Reflection of Light  </c:v>
                </c:pt>
                <c:pt idx="10">
                  <c:v>Seed Dispersal  </c:v>
                </c:pt>
                <c:pt idx="11">
                  <c:v>Silk  </c:v>
                </c:pt>
                <c:pt idx="12">
                  <c:v>Nutrients &amp; Body  </c:v>
                </c:pt>
                <c:pt idx="13">
                  <c:v>Respiration  </c:v>
                </c:pt>
                <c:pt idx="14">
                  <c:v>Wind Currents  </c:v>
                </c:pt>
                <c:pt idx="15">
                  <c:v>Grand Total</c:v>
                </c:pt>
              </c:strCache>
            </c:strRef>
          </c:cat>
          <c:val>
            <c:numRef>
              <c:f>sci!$C$3:$C$18</c:f>
              <c:numCache>
                <c:formatCode>0</c:formatCode>
                <c:ptCount val="16"/>
                <c:pt idx="0">
                  <c:v>68</c:v>
                </c:pt>
                <c:pt idx="1">
                  <c:v>64</c:v>
                </c:pt>
                <c:pt idx="2">
                  <c:v>76</c:v>
                </c:pt>
                <c:pt idx="3">
                  <c:v>20</c:v>
                </c:pt>
                <c:pt idx="4">
                  <c:v>56</c:v>
                </c:pt>
                <c:pt idx="5">
                  <c:v>92</c:v>
                </c:pt>
                <c:pt idx="6">
                  <c:v>20</c:v>
                </c:pt>
                <c:pt idx="7">
                  <c:v>44</c:v>
                </c:pt>
                <c:pt idx="8">
                  <c:v>56</c:v>
                </c:pt>
                <c:pt idx="9">
                  <c:v>20</c:v>
                </c:pt>
                <c:pt idx="10">
                  <c:v>16</c:v>
                </c:pt>
                <c:pt idx="11">
                  <c:v>32</c:v>
                </c:pt>
                <c:pt idx="12">
                  <c:v>92</c:v>
                </c:pt>
                <c:pt idx="13">
                  <c:v>24</c:v>
                </c:pt>
                <c:pt idx="14">
                  <c:v>28</c:v>
                </c:pt>
                <c:pt idx="15">
                  <c:v>47.2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62-4376-8ED8-10F439CC55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20275519"/>
        <c:axId val="2020278399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sci!$D$1:$D$2</c15:sqref>
                        </c15:formulaRef>
                      </c:ext>
                    </c:extLst>
                    <c:strCache>
                      <c:ptCount val="2"/>
                      <c:pt idx="0">
                        <c:v>TGR Institution Girls  Vikarabad</c:v>
                      </c:pt>
                      <c:pt idx="1">
                        <c:v>Average of Manager Absent (%)</c:v>
                      </c:pt>
                    </c:strCache>
                  </c:strRef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sci!$A$3:$A$18</c15:sqref>
                        </c15:formulaRef>
                      </c:ext>
                    </c:extLst>
                    <c:strCache>
                      <c:ptCount val="16"/>
                      <c:pt idx="0">
                        <c:v>Acids &amp; Bases  </c:v>
                      </c:pt>
                      <c:pt idx="1">
                        <c:v>Climate  </c:v>
                      </c:pt>
                      <c:pt idx="2">
                        <c:v>Climate &amp; Adaptation  </c:v>
                      </c:pt>
                      <c:pt idx="3">
                        <c:v>Heating Effect  </c:v>
                      </c:pt>
                      <c:pt idx="4">
                        <c:v>Hot &amp; Cold  </c:v>
                      </c:pt>
                      <c:pt idx="5">
                        <c:v>Measuring Speed  </c:v>
                      </c:pt>
                      <c:pt idx="6">
                        <c:v>Measuring Temperature  </c:v>
                      </c:pt>
                      <c:pt idx="7">
                        <c:v>Reproduction Modes  </c:v>
                      </c:pt>
                      <c:pt idx="8">
                        <c:v>Photosynthesis  </c:v>
                      </c:pt>
                      <c:pt idx="9">
                        <c:v>Reflection of Light  </c:v>
                      </c:pt>
                      <c:pt idx="10">
                        <c:v>Seed Dispersal  </c:v>
                      </c:pt>
                      <c:pt idx="11">
                        <c:v>Silk  </c:v>
                      </c:pt>
                      <c:pt idx="12">
                        <c:v>Nutrients &amp; Body  </c:v>
                      </c:pt>
                      <c:pt idx="13">
                        <c:v>Respiration  </c:v>
                      </c:pt>
                      <c:pt idx="14">
                        <c:v>Wind Currents  </c:v>
                      </c:pt>
                      <c:pt idx="15">
                        <c:v>Grand 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sci!$D$3:$D$18</c15:sqref>
                        </c15:formulaRef>
                      </c:ext>
                    </c:extLst>
                    <c:numCache>
                      <c:formatCode>0</c:formatCode>
                      <c:ptCount val="16"/>
                      <c:pt idx="0">
                        <c:v>66.67</c:v>
                      </c:pt>
                      <c:pt idx="1">
                        <c:v>4.76</c:v>
                      </c:pt>
                      <c:pt idx="2">
                        <c:v>38.1</c:v>
                      </c:pt>
                      <c:pt idx="3">
                        <c:v>19.05</c:v>
                      </c:pt>
                      <c:pt idx="4">
                        <c:v>61.9</c:v>
                      </c:pt>
                      <c:pt idx="5">
                        <c:v>57.14</c:v>
                      </c:pt>
                      <c:pt idx="6">
                        <c:v>85.71</c:v>
                      </c:pt>
                      <c:pt idx="7">
                        <c:v>33.33</c:v>
                      </c:pt>
                      <c:pt idx="8">
                        <c:v>57.14</c:v>
                      </c:pt>
                      <c:pt idx="9">
                        <c:v>23.81</c:v>
                      </c:pt>
                      <c:pt idx="10">
                        <c:v>23.81</c:v>
                      </c:pt>
                      <c:pt idx="11">
                        <c:v>23.81</c:v>
                      </c:pt>
                      <c:pt idx="12">
                        <c:v>66.67</c:v>
                      </c:pt>
                      <c:pt idx="13">
                        <c:v>23.81</c:v>
                      </c:pt>
                      <c:pt idx="14">
                        <c:v>33.33</c:v>
                      </c:pt>
                      <c:pt idx="15">
                        <c:v>41.269333333333329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862-4376-8ED8-10F439CC55F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sci!$E$1:$E$2</c15:sqref>
                        </c15:formulaRef>
                      </c:ext>
                    </c:extLst>
                    <c:strCache>
                      <c:ptCount val="2"/>
                      <c:pt idx="0">
                        <c:v>TGR Institution Girls  Vikarabad</c:v>
                      </c:pt>
                      <c:pt idx="1">
                        <c:v>Average of Manager Present (%)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sci!$A$3:$A$18</c15:sqref>
                        </c15:formulaRef>
                      </c:ext>
                    </c:extLst>
                    <c:strCache>
                      <c:ptCount val="16"/>
                      <c:pt idx="0">
                        <c:v>Acids &amp; Bases  </c:v>
                      </c:pt>
                      <c:pt idx="1">
                        <c:v>Climate  </c:v>
                      </c:pt>
                      <c:pt idx="2">
                        <c:v>Climate &amp; Adaptation  </c:v>
                      </c:pt>
                      <c:pt idx="3">
                        <c:v>Heating Effect  </c:v>
                      </c:pt>
                      <c:pt idx="4">
                        <c:v>Hot &amp; Cold  </c:v>
                      </c:pt>
                      <c:pt idx="5">
                        <c:v>Measuring Speed  </c:v>
                      </c:pt>
                      <c:pt idx="6">
                        <c:v>Measuring Temperature  </c:v>
                      </c:pt>
                      <c:pt idx="7">
                        <c:v>Reproduction Modes  </c:v>
                      </c:pt>
                      <c:pt idx="8">
                        <c:v>Photosynthesis  </c:v>
                      </c:pt>
                      <c:pt idx="9">
                        <c:v>Reflection of Light  </c:v>
                      </c:pt>
                      <c:pt idx="10">
                        <c:v>Seed Dispersal  </c:v>
                      </c:pt>
                      <c:pt idx="11">
                        <c:v>Silk  </c:v>
                      </c:pt>
                      <c:pt idx="12">
                        <c:v>Nutrients &amp; Body  </c:v>
                      </c:pt>
                      <c:pt idx="13">
                        <c:v>Respiration  </c:v>
                      </c:pt>
                      <c:pt idx="14">
                        <c:v>Wind Currents  </c:v>
                      </c:pt>
                      <c:pt idx="15">
                        <c:v>Grand Total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sci!$E$3:$E$18</c15:sqref>
                        </c15:formulaRef>
                      </c:ext>
                    </c:extLst>
                    <c:numCache>
                      <c:formatCode>0</c:formatCode>
                      <c:ptCount val="16"/>
                      <c:pt idx="0">
                        <c:v>56</c:v>
                      </c:pt>
                      <c:pt idx="1">
                        <c:v>32</c:v>
                      </c:pt>
                      <c:pt idx="2">
                        <c:v>28</c:v>
                      </c:pt>
                      <c:pt idx="3">
                        <c:v>24</c:v>
                      </c:pt>
                      <c:pt idx="4">
                        <c:v>40</c:v>
                      </c:pt>
                      <c:pt idx="5">
                        <c:v>68</c:v>
                      </c:pt>
                      <c:pt idx="6">
                        <c:v>64</c:v>
                      </c:pt>
                      <c:pt idx="7">
                        <c:v>32</c:v>
                      </c:pt>
                      <c:pt idx="8">
                        <c:v>36</c:v>
                      </c:pt>
                      <c:pt idx="9">
                        <c:v>28</c:v>
                      </c:pt>
                      <c:pt idx="10">
                        <c:v>32</c:v>
                      </c:pt>
                      <c:pt idx="11">
                        <c:v>24</c:v>
                      </c:pt>
                      <c:pt idx="12">
                        <c:v>68</c:v>
                      </c:pt>
                      <c:pt idx="13">
                        <c:v>28</c:v>
                      </c:pt>
                      <c:pt idx="14">
                        <c:v>20</c:v>
                      </c:pt>
                      <c:pt idx="15">
                        <c:v>38.666666666666664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B862-4376-8ED8-10F439CC55F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sci!$F$1:$F$2</c15:sqref>
                        </c15:formulaRef>
                      </c:ext>
                    </c:extLst>
                    <c:strCache>
                      <c:ptCount val="2"/>
                      <c:pt idx="0">
                        <c:v>TGR Institution Girls Siddipet</c:v>
                      </c:pt>
                      <c:pt idx="1">
                        <c:v>Average of Manager Absent (%)</c:v>
                      </c:pt>
                    </c:strCache>
                  </c:strRef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sci!$A$3:$A$18</c15:sqref>
                        </c15:formulaRef>
                      </c:ext>
                    </c:extLst>
                    <c:strCache>
                      <c:ptCount val="16"/>
                      <c:pt idx="0">
                        <c:v>Acids &amp; Bases  </c:v>
                      </c:pt>
                      <c:pt idx="1">
                        <c:v>Climate  </c:v>
                      </c:pt>
                      <c:pt idx="2">
                        <c:v>Climate &amp; Adaptation  </c:v>
                      </c:pt>
                      <c:pt idx="3">
                        <c:v>Heating Effect  </c:v>
                      </c:pt>
                      <c:pt idx="4">
                        <c:v>Hot &amp; Cold  </c:v>
                      </c:pt>
                      <c:pt idx="5">
                        <c:v>Measuring Speed  </c:v>
                      </c:pt>
                      <c:pt idx="6">
                        <c:v>Measuring Temperature  </c:v>
                      </c:pt>
                      <c:pt idx="7">
                        <c:v>Reproduction Modes  </c:v>
                      </c:pt>
                      <c:pt idx="8">
                        <c:v>Photosynthesis  </c:v>
                      </c:pt>
                      <c:pt idx="9">
                        <c:v>Reflection of Light  </c:v>
                      </c:pt>
                      <c:pt idx="10">
                        <c:v>Seed Dispersal  </c:v>
                      </c:pt>
                      <c:pt idx="11">
                        <c:v>Silk  </c:v>
                      </c:pt>
                      <c:pt idx="12">
                        <c:v>Nutrients &amp; Body  </c:v>
                      </c:pt>
                      <c:pt idx="13">
                        <c:v>Respiration  </c:v>
                      </c:pt>
                      <c:pt idx="14">
                        <c:v>Wind Currents  </c:v>
                      </c:pt>
                      <c:pt idx="15">
                        <c:v>Grand Total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sci!$F$3:$F$18</c15:sqref>
                        </c15:formulaRef>
                      </c:ext>
                    </c:extLst>
                    <c:numCache>
                      <c:formatCode>0</c:formatCode>
                      <c:ptCount val="16"/>
                      <c:pt idx="0">
                        <c:v>45.45</c:v>
                      </c:pt>
                      <c:pt idx="1">
                        <c:v>45.45</c:v>
                      </c:pt>
                      <c:pt idx="2">
                        <c:v>27.27</c:v>
                      </c:pt>
                      <c:pt idx="3">
                        <c:v>36.36</c:v>
                      </c:pt>
                      <c:pt idx="4">
                        <c:v>45.45</c:v>
                      </c:pt>
                      <c:pt idx="5">
                        <c:v>72.73</c:v>
                      </c:pt>
                      <c:pt idx="6">
                        <c:v>54.55</c:v>
                      </c:pt>
                      <c:pt idx="7">
                        <c:v>9.09</c:v>
                      </c:pt>
                      <c:pt idx="8">
                        <c:v>9.09</c:v>
                      </c:pt>
                      <c:pt idx="9">
                        <c:v>36.36</c:v>
                      </c:pt>
                      <c:pt idx="10">
                        <c:v>27.27</c:v>
                      </c:pt>
                      <c:pt idx="11">
                        <c:v>54.55</c:v>
                      </c:pt>
                      <c:pt idx="12">
                        <c:v>45.45</c:v>
                      </c:pt>
                      <c:pt idx="13">
                        <c:v>45.45</c:v>
                      </c:pt>
                      <c:pt idx="14">
                        <c:v>9.09</c:v>
                      </c:pt>
                      <c:pt idx="15">
                        <c:v>37.573999999999998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B862-4376-8ED8-10F439CC55F3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sci!$G$1:$G$2</c15:sqref>
                        </c15:formulaRef>
                      </c:ext>
                    </c:extLst>
                    <c:strCache>
                      <c:ptCount val="2"/>
                      <c:pt idx="0">
                        <c:v>TGR Institution Girls Siddipet</c:v>
                      </c:pt>
                      <c:pt idx="1">
                        <c:v>Average of Manager Present (%)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sci!$A$3:$A$18</c15:sqref>
                        </c15:formulaRef>
                      </c:ext>
                    </c:extLst>
                    <c:strCache>
                      <c:ptCount val="16"/>
                      <c:pt idx="0">
                        <c:v>Acids &amp; Bases  </c:v>
                      </c:pt>
                      <c:pt idx="1">
                        <c:v>Climate  </c:v>
                      </c:pt>
                      <c:pt idx="2">
                        <c:v>Climate &amp; Adaptation  </c:v>
                      </c:pt>
                      <c:pt idx="3">
                        <c:v>Heating Effect  </c:v>
                      </c:pt>
                      <c:pt idx="4">
                        <c:v>Hot &amp; Cold  </c:v>
                      </c:pt>
                      <c:pt idx="5">
                        <c:v>Measuring Speed  </c:v>
                      </c:pt>
                      <c:pt idx="6">
                        <c:v>Measuring Temperature  </c:v>
                      </c:pt>
                      <c:pt idx="7">
                        <c:v>Reproduction Modes  </c:v>
                      </c:pt>
                      <c:pt idx="8">
                        <c:v>Photosynthesis  </c:v>
                      </c:pt>
                      <c:pt idx="9">
                        <c:v>Reflection of Light  </c:v>
                      </c:pt>
                      <c:pt idx="10">
                        <c:v>Seed Dispersal  </c:v>
                      </c:pt>
                      <c:pt idx="11">
                        <c:v>Silk  </c:v>
                      </c:pt>
                      <c:pt idx="12">
                        <c:v>Nutrients &amp; Body  </c:v>
                      </c:pt>
                      <c:pt idx="13">
                        <c:v>Respiration  </c:v>
                      </c:pt>
                      <c:pt idx="14">
                        <c:v>Wind Currents  </c:v>
                      </c:pt>
                      <c:pt idx="15">
                        <c:v>Grand Total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sci!$G$3:$G$18</c15:sqref>
                        </c15:formulaRef>
                      </c:ext>
                    </c:extLst>
                    <c:numCache>
                      <c:formatCode>0</c:formatCode>
                      <c:ptCount val="16"/>
                      <c:pt idx="0">
                        <c:v>39.29</c:v>
                      </c:pt>
                      <c:pt idx="1">
                        <c:v>25</c:v>
                      </c:pt>
                      <c:pt idx="2">
                        <c:v>21.43</c:v>
                      </c:pt>
                      <c:pt idx="3">
                        <c:v>32.14</c:v>
                      </c:pt>
                      <c:pt idx="4">
                        <c:v>32.14</c:v>
                      </c:pt>
                      <c:pt idx="5">
                        <c:v>57.14</c:v>
                      </c:pt>
                      <c:pt idx="6">
                        <c:v>28.57</c:v>
                      </c:pt>
                      <c:pt idx="7">
                        <c:v>25</c:v>
                      </c:pt>
                      <c:pt idx="8">
                        <c:v>39.29</c:v>
                      </c:pt>
                      <c:pt idx="9">
                        <c:v>21.43</c:v>
                      </c:pt>
                      <c:pt idx="10">
                        <c:v>14.29</c:v>
                      </c:pt>
                      <c:pt idx="11">
                        <c:v>25</c:v>
                      </c:pt>
                      <c:pt idx="12">
                        <c:v>60.71</c:v>
                      </c:pt>
                      <c:pt idx="13">
                        <c:v>32.14</c:v>
                      </c:pt>
                      <c:pt idx="14">
                        <c:v>25</c:v>
                      </c:pt>
                      <c:pt idx="15">
                        <c:v>31.904666666666667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B862-4376-8ED8-10F439CC55F3}"/>
                  </c:ext>
                </c:extLst>
              </c15:ser>
            </c15:filteredBarSeries>
          </c:ext>
        </c:extLst>
      </c:barChart>
      <c:catAx>
        <c:axId val="202027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278399"/>
        <c:crosses val="autoZero"/>
        <c:auto val="1"/>
        <c:lblAlgn val="ctr"/>
        <c:lblOffset val="100"/>
        <c:noMultiLvlLbl val="0"/>
      </c:catAx>
      <c:valAx>
        <c:axId val="202027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27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eng!$B$1:$B$2</c:f>
              <c:strCache>
                <c:ptCount val="2"/>
                <c:pt idx="0">
                  <c:v>TGR Institution Girls  Tandur</c:v>
                </c:pt>
                <c:pt idx="1">
                  <c:v>Perf when Manager Absent (%)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eng!$A$3:$A$16</c:f>
              <c:strCache>
                <c:ptCount val="14"/>
                <c:pt idx="0">
                  <c:v>Article  </c:v>
                </c:pt>
                <c:pt idx="1">
                  <c:v>Preposition  </c:v>
                </c:pt>
                <c:pt idx="2">
                  <c:v>Punctuation  </c:v>
                </c:pt>
                <c:pt idx="3">
                  <c:v>Synonym  </c:v>
                </c:pt>
                <c:pt idx="4">
                  <c:v>Literal Comprehension  </c:v>
                </c:pt>
                <c:pt idx="5">
                  <c:v>Narrative Coherence  </c:v>
                </c:pt>
                <c:pt idx="6">
                  <c:v>Word Meaning &amp; Usage  </c:v>
                </c:pt>
                <c:pt idx="7">
                  <c:v>Text Comparison  </c:v>
                </c:pt>
                <c:pt idx="8">
                  <c:v>Inference with Evidence  </c:v>
                </c:pt>
                <c:pt idx="9">
                  <c:v>Prediction  </c:v>
                </c:pt>
                <c:pt idx="10">
                  <c:v>Detail Retrieval  </c:v>
                </c:pt>
                <c:pt idx="11">
                  <c:v>Summarising  </c:v>
                </c:pt>
                <c:pt idx="12">
                  <c:v>Verb  </c:v>
                </c:pt>
                <c:pt idx="13">
                  <c:v>Average perf</c:v>
                </c:pt>
              </c:strCache>
            </c:strRef>
          </c:cat>
          <c:val>
            <c:numRef>
              <c:f>eng!$B$3:$B$16</c:f>
              <c:numCache>
                <c:formatCode>0</c:formatCode>
                <c:ptCount val="14"/>
                <c:pt idx="0">
                  <c:v>0</c:v>
                </c:pt>
                <c:pt idx="1">
                  <c:v>50</c:v>
                </c:pt>
                <c:pt idx="2">
                  <c:v>12.5</c:v>
                </c:pt>
                <c:pt idx="3">
                  <c:v>37.5</c:v>
                </c:pt>
                <c:pt idx="4">
                  <c:v>62.5</c:v>
                </c:pt>
                <c:pt idx="5">
                  <c:v>37.5</c:v>
                </c:pt>
                <c:pt idx="6">
                  <c:v>25</c:v>
                </c:pt>
                <c:pt idx="7">
                  <c:v>37.5</c:v>
                </c:pt>
                <c:pt idx="8">
                  <c:v>62.5</c:v>
                </c:pt>
                <c:pt idx="9">
                  <c:v>18.75</c:v>
                </c:pt>
                <c:pt idx="10">
                  <c:v>25</c:v>
                </c:pt>
                <c:pt idx="11">
                  <c:v>62.5</c:v>
                </c:pt>
                <c:pt idx="12">
                  <c:v>0</c:v>
                </c:pt>
                <c:pt idx="13">
                  <c:v>33.17307692307692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2-44A9-80D1-0464FAEBDCEC}"/>
            </c:ext>
          </c:extLst>
        </c:ser>
        <c:ser>
          <c:idx val="1"/>
          <c:order val="1"/>
          <c:tx>
            <c:strRef>
              <c:f>eng!$C$1:$C$2</c:f>
              <c:strCache>
                <c:ptCount val="2"/>
                <c:pt idx="0">
                  <c:v>TGR Institution Girls  Tandur</c:v>
                </c:pt>
                <c:pt idx="1">
                  <c:v>Perf when Manager Present (%)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eng!$A$3:$A$16</c:f>
              <c:strCache>
                <c:ptCount val="14"/>
                <c:pt idx="0">
                  <c:v>Article  </c:v>
                </c:pt>
                <c:pt idx="1">
                  <c:v>Preposition  </c:v>
                </c:pt>
                <c:pt idx="2">
                  <c:v>Punctuation  </c:v>
                </c:pt>
                <c:pt idx="3">
                  <c:v>Synonym  </c:v>
                </c:pt>
                <c:pt idx="4">
                  <c:v>Literal Comprehension  </c:v>
                </c:pt>
                <c:pt idx="5">
                  <c:v>Narrative Coherence  </c:v>
                </c:pt>
                <c:pt idx="6">
                  <c:v>Word Meaning &amp; Usage  </c:v>
                </c:pt>
                <c:pt idx="7">
                  <c:v>Text Comparison  </c:v>
                </c:pt>
                <c:pt idx="8">
                  <c:v>Inference with Evidence  </c:v>
                </c:pt>
                <c:pt idx="9">
                  <c:v>Prediction  </c:v>
                </c:pt>
                <c:pt idx="10">
                  <c:v>Detail Retrieval  </c:v>
                </c:pt>
                <c:pt idx="11">
                  <c:v>Summarising  </c:v>
                </c:pt>
                <c:pt idx="12">
                  <c:v>Verb  </c:v>
                </c:pt>
                <c:pt idx="13">
                  <c:v>Average perf</c:v>
                </c:pt>
              </c:strCache>
            </c:strRef>
          </c:cat>
          <c:val>
            <c:numRef>
              <c:f>eng!$C$3:$C$16</c:f>
              <c:numCache>
                <c:formatCode>0</c:formatCode>
                <c:ptCount val="14"/>
                <c:pt idx="0">
                  <c:v>48</c:v>
                </c:pt>
                <c:pt idx="1">
                  <c:v>60</c:v>
                </c:pt>
                <c:pt idx="2">
                  <c:v>16</c:v>
                </c:pt>
                <c:pt idx="3">
                  <c:v>52</c:v>
                </c:pt>
                <c:pt idx="4">
                  <c:v>60</c:v>
                </c:pt>
                <c:pt idx="5">
                  <c:v>46</c:v>
                </c:pt>
                <c:pt idx="6">
                  <c:v>24</c:v>
                </c:pt>
                <c:pt idx="7">
                  <c:v>72</c:v>
                </c:pt>
                <c:pt idx="8">
                  <c:v>96</c:v>
                </c:pt>
                <c:pt idx="9">
                  <c:v>42</c:v>
                </c:pt>
                <c:pt idx="10">
                  <c:v>28</c:v>
                </c:pt>
                <c:pt idx="11">
                  <c:v>72</c:v>
                </c:pt>
                <c:pt idx="12">
                  <c:v>20</c:v>
                </c:pt>
                <c:pt idx="13">
                  <c:v>48.92307692307692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62-44A9-80D1-0464FAEBDC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14063423"/>
        <c:axId val="314064863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eng!$D$1:$D$2</c15:sqref>
                        </c15:formulaRef>
                      </c:ext>
                    </c:extLst>
                    <c:strCache>
                      <c:ptCount val="2"/>
                      <c:pt idx="0">
                        <c:v>TGR Institution Girls  Vikarabad</c:v>
                      </c:pt>
                      <c:pt idx="1">
                        <c:v>Perf when Manager Absent (%)</c:v>
                      </c:pt>
                    </c:strCache>
                  </c:strRef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eng!$A$3:$A$16</c15:sqref>
                        </c15:formulaRef>
                      </c:ext>
                    </c:extLst>
                    <c:strCache>
                      <c:ptCount val="14"/>
                      <c:pt idx="0">
                        <c:v>Article  </c:v>
                      </c:pt>
                      <c:pt idx="1">
                        <c:v>Preposition  </c:v>
                      </c:pt>
                      <c:pt idx="2">
                        <c:v>Punctuation  </c:v>
                      </c:pt>
                      <c:pt idx="3">
                        <c:v>Synonym  </c:v>
                      </c:pt>
                      <c:pt idx="4">
                        <c:v>Literal Comprehension  </c:v>
                      </c:pt>
                      <c:pt idx="5">
                        <c:v>Narrative Coherence  </c:v>
                      </c:pt>
                      <c:pt idx="6">
                        <c:v>Word Meaning &amp; Usage  </c:v>
                      </c:pt>
                      <c:pt idx="7">
                        <c:v>Text Comparison  </c:v>
                      </c:pt>
                      <c:pt idx="8">
                        <c:v>Inference with Evidence  </c:v>
                      </c:pt>
                      <c:pt idx="9">
                        <c:v>Prediction  </c:v>
                      </c:pt>
                      <c:pt idx="10">
                        <c:v>Detail Retrieval  </c:v>
                      </c:pt>
                      <c:pt idx="11">
                        <c:v>Summarising  </c:v>
                      </c:pt>
                      <c:pt idx="12">
                        <c:v>Verb  </c:v>
                      </c:pt>
                      <c:pt idx="13">
                        <c:v>Average perf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eng!$D$3:$D$16</c15:sqref>
                        </c15:formulaRef>
                      </c:ext>
                    </c:extLst>
                    <c:numCache>
                      <c:formatCode>0</c:formatCode>
                      <c:ptCount val="14"/>
                      <c:pt idx="0">
                        <c:v>19.05</c:v>
                      </c:pt>
                      <c:pt idx="1">
                        <c:v>47.62</c:v>
                      </c:pt>
                      <c:pt idx="2">
                        <c:v>52.38</c:v>
                      </c:pt>
                      <c:pt idx="3">
                        <c:v>33.33</c:v>
                      </c:pt>
                      <c:pt idx="4">
                        <c:v>66.67</c:v>
                      </c:pt>
                      <c:pt idx="5">
                        <c:v>33.33</c:v>
                      </c:pt>
                      <c:pt idx="6">
                        <c:v>14.29</c:v>
                      </c:pt>
                      <c:pt idx="7">
                        <c:v>61.9</c:v>
                      </c:pt>
                      <c:pt idx="8">
                        <c:v>66.67</c:v>
                      </c:pt>
                      <c:pt idx="9">
                        <c:v>40.479999999999997</c:v>
                      </c:pt>
                      <c:pt idx="10">
                        <c:v>52.38</c:v>
                      </c:pt>
                      <c:pt idx="11">
                        <c:v>61.9</c:v>
                      </c:pt>
                      <c:pt idx="12">
                        <c:v>19.05</c:v>
                      </c:pt>
                      <c:pt idx="13">
                        <c:v>43.773076923076921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462-44A9-80D1-0464FAEBDCE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eng!$E$1:$E$2</c15:sqref>
                        </c15:formulaRef>
                      </c:ext>
                    </c:extLst>
                    <c:strCache>
                      <c:ptCount val="2"/>
                      <c:pt idx="0">
                        <c:v>TGR Institution Girls  Vikarabad</c:v>
                      </c:pt>
                      <c:pt idx="1">
                        <c:v>Perf when Manager Present (%)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eng!$A$3:$A$16</c15:sqref>
                        </c15:formulaRef>
                      </c:ext>
                    </c:extLst>
                    <c:strCache>
                      <c:ptCount val="14"/>
                      <c:pt idx="0">
                        <c:v>Article  </c:v>
                      </c:pt>
                      <c:pt idx="1">
                        <c:v>Preposition  </c:v>
                      </c:pt>
                      <c:pt idx="2">
                        <c:v>Punctuation  </c:v>
                      </c:pt>
                      <c:pt idx="3">
                        <c:v>Synonym  </c:v>
                      </c:pt>
                      <c:pt idx="4">
                        <c:v>Literal Comprehension  </c:v>
                      </c:pt>
                      <c:pt idx="5">
                        <c:v>Narrative Coherence  </c:v>
                      </c:pt>
                      <c:pt idx="6">
                        <c:v>Word Meaning &amp; Usage  </c:v>
                      </c:pt>
                      <c:pt idx="7">
                        <c:v>Text Comparison  </c:v>
                      </c:pt>
                      <c:pt idx="8">
                        <c:v>Inference with Evidence  </c:v>
                      </c:pt>
                      <c:pt idx="9">
                        <c:v>Prediction  </c:v>
                      </c:pt>
                      <c:pt idx="10">
                        <c:v>Detail Retrieval  </c:v>
                      </c:pt>
                      <c:pt idx="11">
                        <c:v>Summarising  </c:v>
                      </c:pt>
                      <c:pt idx="12">
                        <c:v>Verb  </c:v>
                      </c:pt>
                      <c:pt idx="13">
                        <c:v>Average perf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eng!$E$3:$E$16</c15:sqref>
                        </c15:formulaRef>
                      </c:ext>
                    </c:extLst>
                    <c:numCache>
                      <c:formatCode>0</c:formatCode>
                      <c:ptCount val="14"/>
                      <c:pt idx="0">
                        <c:v>16</c:v>
                      </c:pt>
                      <c:pt idx="1">
                        <c:v>44</c:v>
                      </c:pt>
                      <c:pt idx="2">
                        <c:v>12</c:v>
                      </c:pt>
                      <c:pt idx="3">
                        <c:v>28</c:v>
                      </c:pt>
                      <c:pt idx="4">
                        <c:v>64</c:v>
                      </c:pt>
                      <c:pt idx="5">
                        <c:v>36</c:v>
                      </c:pt>
                      <c:pt idx="6">
                        <c:v>24</c:v>
                      </c:pt>
                      <c:pt idx="7">
                        <c:v>56</c:v>
                      </c:pt>
                      <c:pt idx="8">
                        <c:v>76</c:v>
                      </c:pt>
                      <c:pt idx="9">
                        <c:v>36</c:v>
                      </c:pt>
                      <c:pt idx="10">
                        <c:v>64</c:v>
                      </c:pt>
                      <c:pt idx="11">
                        <c:v>56</c:v>
                      </c:pt>
                      <c:pt idx="12">
                        <c:v>16</c:v>
                      </c:pt>
                      <c:pt idx="13">
                        <c:v>40.615384615384613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3462-44A9-80D1-0464FAEBDCE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eng!$F$1:$F$2</c15:sqref>
                        </c15:formulaRef>
                      </c:ext>
                    </c:extLst>
                    <c:strCache>
                      <c:ptCount val="2"/>
                      <c:pt idx="0">
                        <c:v>TGR Institution Girls Siddipet</c:v>
                      </c:pt>
                      <c:pt idx="1">
                        <c:v>Perf when  Manager Absent (%)</c:v>
                      </c:pt>
                    </c:strCache>
                  </c:strRef>
                </c:tx>
                <c:spPr>
                  <a:solidFill>
                    <a:schemeClr val="accent2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eng!$A$3:$A$16</c15:sqref>
                        </c15:formulaRef>
                      </c:ext>
                    </c:extLst>
                    <c:strCache>
                      <c:ptCount val="14"/>
                      <c:pt idx="0">
                        <c:v>Article  </c:v>
                      </c:pt>
                      <c:pt idx="1">
                        <c:v>Preposition  </c:v>
                      </c:pt>
                      <c:pt idx="2">
                        <c:v>Punctuation  </c:v>
                      </c:pt>
                      <c:pt idx="3">
                        <c:v>Synonym  </c:v>
                      </c:pt>
                      <c:pt idx="4">
                        <c:v>Literal Comprehension  </c:v>
                      </c:pt>
                      <c:pt idx="5">
                        <c:v>Narrative Coherence  </c:v>
                      </c:pt>
                      <c:pt idx="6">
                        <c:v>Word Meaning &amp; Usage  </c:v>
                      </c:pt>
                      <c:pt idx="7">
                        <c:v>Text Comparison  </c:v>
                      </c:pt>
                      <c:pt idx="8">
                        <c:v>Inference with Evidence  </c:v>
                      </c:pt>
                      <c:pt idx="9">
                        <c:v>Prediction  </c:v>
                      </c:pt>
                      <c:pt idx="10">
                        <c:v>Detail Retrieval  </c:v>
                      </c:pt>
                      <c:pt idx="11">
                        <c:v>Summarising  </c:v>
                      </c:pt>
                      <c:pt idx="12">
                        <c:v>Verb  </c:v>
                      </c:pt>
                      <c:pt idx="13">
                        <c:v>Average perf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eng!$F$3:$F$16</c15:sqref>
                        </c15:formulaRef>
                      </c:ext>
                    </c:extLst>
                    <c:numCache>
                      <c:formatCode>0</c:formatCode>
                      <c:ptCount val="14"/>
                      <c:pt idx="0">
                        <c:v>0</c:v>
                      </c:pt>
                      <c:pt idx="1">
                        <c:v>50</c:v>
                      </c:pt>
                      <c:pt idx="2">
                        <c:v>30</c:v>
                      </c:pt>
                      <c:pt idx="3">
                        <c:v>30</c:v>
                      </c:pt>
                      <c:pt idx="4">
                        <c:v>60</c:v>
                      </c:pt>
                      <c:pt idx="5">
                        <c:v>55</c:v>
                      </c:pt>
                      <c:pt idx="6">
                        <c:v>40</c:v>
                      </c:pt>
                      <c:pt idx="7">
                        <c:v>30</c:v>
                      </c:pt>
                      <c:pt idx="8">
                        <c:v>50</c:v>
                      </c:pt>
                      <c:pt idx="9">
                        <c:v>30</c:v>
                      </c:pt>
                      <c:pt idx="10">
                        <c:v>30</c:v>
                      </c:pt>
                      <c:pt idx="11">
                        <c:v>20</c:v>
                      </c:pt>
                      <c:pt idx="12">
                        <c:v>40</c:v>
                      </c:pt>
                      <c:pt idx="13">
                        <c:v>35.769230769230766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62-44A9-80D1-0464FAEBDCE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eng!$G$1:$G$2</c15:sqref>
                        </c15:formulaRef>
                      </c:ext>
                    </c:extLst>
                    <c:strCache>
                      <c:ptCount val="2"/>
                      <c:pt idx="0">
                        <c:v>TGR Institution Girls Siddipet</c:v>
                      </c:pt>
                      <c:pt idx="1">
                        <c:v>Perf when Manager Present (%)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eng!$A$3:$A$16</c15:sqref>
                        </c15:formulaRef>
                      </c:ext>
                    </c:extLst>
                    <c:strCache>
                      <c:ptCount val="14"/>
                      <c:pt idx="0">
                        <c:v>Article  </c:v>
                      </c:pt>
                      <c:pt idx="1">
                        <c:v>Preposition  </c:v>
                      </c:pt>
                      <c:pt idx="2">
                        <c:v>Punctuation  </c:v>
                      </c:pt>
                      <c:pt idx="3">
                        <c:v>Synonym  </c:v>
                      </c:pt>
                      <c:pt idx="4">
                        <c:v>Literal Comprehension  </c:v>
                      </c:pt>
                      <c:pt idx="5">
                        <c:v>Narrative Coherence  </c:v>
                      </c:pt>
                      <c:pt idx="6">
                        <c:v>Word Meaning &amp; Usage  </c:v>
                      </c:pt>
                      <c:pt idx="7">
                        <c:v>Text Comparison  </c:v>
                      </c:pt>
                      <c:pt idx="8">
                        <c:v>Inference with Evidence  </c:v>
                      </c:pt>
                      <c:pt idx="9">
                        <c:v>Prediction  </c:v>
                      </c:pt>
                      <c:pt idx="10">
                        <c:v>Detail Retrieval  </c:v>
                      </c:pt>
                      <c:pt idx="11">
                        <c:v>Summarising  </c:v>
                      </c:pt>
                      <c:pt idx="12">
                        <c:v>Verb  </c:v>
                      </c:pt>
                      <c:pt idx="13">
                        <c:v>Average perf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eng!$G$3:$G$16</c15:sqref>
                        </c15:formulaRef>
                      </c:ext>
                    </c:extLst>
                    <c:numCache>
                      <c:formatCode>0</c:formatCode>
                      <c:ptCount val="14"/>
                      <c:pt idx="0">
                        <c:v>20.69</c:v>
                      </c:pt>
                      <c:pt idx="1">
                        <c:v>27.59</c:v>
                      </c:pt>
                      <c:pt idx="2">
                        <c:v>31.03</c:v>
                      </c:pt>
                      <c:pt idx="3">
                        <c:v>20.69</c:v>
                      </c:pt>
                      <c:pt idx="4">
                        <c:v>41.38</c:v>
                      </c:pt>
                      <c:pt idx="5">
                        <c:v>25.86</c:v>
                      </c:pt>
                      <c:pt idx="6">
                        <c:v>10.34</c:v>
                      </c:pt>
                      <c:pt idx="7">
                        <c:v>41.38</c:v>
                      </c:pt>
                      <c:pt idx="8">
                        <c:v>55.17</c:v>
                      </c:pt>
                      <c:pt idx="9">
                        <c:v>24.14</c:v>
                      </c:pt>
                      <c:pt idx="10">
                        <c:v>20.69</c:v>
                      </c:pt>
                      <c:pt idx="11">
                        <c:v>20.69</c:v>
                      </c:pt>
                      <c:pt idx="12">
                        <c:v>10.34</c:v>
                      </c:pt>
                      <c:pt idx="13">
                        <c:v>26.92230769230769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3462-44A9-80D1-0464FAEBDCEC}"/>
                  </c:ext>
                </c:extLst>
              </c15:ser>
            </c15:filteredBarSeries>
          </c:ext>
        </c:extLst>
      </c:barChart>
      <c:catAx>
        <c:axId val="31406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064863"/>
        <c:crosses val="autoZero"/>
        <c:auto val="1"/>
        <c:lblAlgn val="ctr"/>
        <c:lblOffset val="100"/>
        <c:noMultiLvlLbl val="0"/>
      </c:catAx>
      <c:valAx>
        <c:axId val="31406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06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1409700</xdr:colOff>
      <xdr:row>17</xdr:row>
      <xdr:rowOff>41910</xdr:rowOff>
    </xdr:from>
    <xdr:to>
      <xdr:col>6</xdr:col>
      <xdr:colOff>701040</xdr:colOff>
      <xdr:row>32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787056-A764-A72C-E462-9902384A4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1432560</xdr:colOff>
      <xdr:row>19</xdr:row>
      <xdr:rowOff>114300</xdr:rowOff>
    </xdr:from>
    <xdr:to>
      <xdr:col>6</xdr:col>
      <xdr:colOff>434340</xdr:colOff>
      <xdr:row>35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7899BC-ABE7-1F66-9EEA-F9B05135A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16</xdr:row>
      <xdr:rowOff>107768</xdr:rowOff>
    </xdr:from>
    <xdr:to>
      <xdr:col>6</xdr:col>
      <xdr:colOff>416923</xdr:colOff>
      <xdr:row>34</xdr:row>
      <xdr:rowOff>77288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2B3399-D94F-E873-E689-DC9B52B36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avi Indu" refreshedDate="46077.462813194441" createdVersion="8" refreshedVersion="8" minRefreshableVersion="3" recordCount="36" xr:uid="{A5FD98F0-BD65-425A-8C92-FCBB322CCEFD}">
  <cacheSource type="worksheet">
    <worksheetSource ref="A1:E37" sheet="Sheet1"/>
  </cacheSource>
  <cacheFields count="5">
    <cacheField name="School" numFmtId="0">
      <sharedItems count="3">
        <s v="TGR Institution Girls  Tandur"/>
        <s v="TGR Institution Girls  Vikarabad"/>
        <s v="TGR Institution Girls Siddipet"/>
      </sharedItems>
    </cacheField>
    <cacheField name="Date" numFmtId="164">
      <sharedItems containsSemiMixedTypes="0" containsNonDate="0" containsDate="1" containsString="0" minDate="2026-02-09T00:00:00" maxDate="2026-02-13T00:00:00"/>
    </cacheField>
    <cacheField name="LO" numFmtId="0">
      <sharedItems count="12">
        <s v="Applications of simple Equations to Practical situations"/>
        <s v="Checking for Parallel Lines"/>
        <s v="Circle Graph or Pie Chart"/>
        <s v="Division of decimal numbers"/>
        <s v="Mode"/>
        <s v="Operations on Rational Numbers"/>
        <s v="Pairs of Lines"/>
        <s v="Properties of addition and subtraction of Integers"/>
        <s v="Setting up of an Equation"/>
        <s v="Sum of the lengths of two sides of a Triangle"/>
        <s v="Two special Triangles : Equilateral and Isosceles"/>
        <s v="Use of Percentages"/>
      </sharedItems>
    </cacheField>
    <cacheField name="Manager Absent (%)" numFmtId="0">
      <sharedItems containsSemiMixedTypes="0" containsString="0" containsNumber="1" minValue="15.87" maxValue="100"/>
    </cacheField>
    <cacheField name="Manager Present (%)" numFmtId="0">
      <sharedItems containsSemiMixedTypes="0" containsString="0" containsNumber="1" minValue="10.34" maxValue="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d v="2026-02-09T00:00:00"/>
    <x v="0"/>
    <n v="87.5"/>
    <n v="48"/>
  </r>
  <r>
    <x v="0"/>
    <d v="2026-02-09T00:00:00"/>
    <x v="1"/>
    <n v="25"/>
    <n v="76"/>
  </r>
  <r>
    <x v="0"/>
    <d v="2026-02-09T00:00:00"/>
    <x v="2"/>
    <n v="75"/>
    <n v="76"/>
  </r>
  <r>
    <x v="0"/>
    <d v="2026-02-09T00:00:00"/>
    <x v="3"/>
    <n v="37.5"/>
    <n v="44"/>
  </r>
  <r>
    <x v="0"/>
    <d v="2026-02-09T00:00:00"/>
    <x v="4"/>
    <n v="100"/>
    <n v="96"/>
  </r>
  <r>
    <x v="0"/>
    <d v="2026-02-09T00:00:00"/>
    <x v="5"/>
    <n v="56.25"/>
    <n v="82"/>
  </r>
  <r>
    <x v="0"/>
    <d v="2026-02-09T00:00:00"/>
    <x v="6"/>
    <n v="75"/>
    <n v="72"/>
  </r>
  <r>
    <x v="0"/>
    <d v="2026-02-09T00:00:00"/>
    <x v="7"/>
    <n v="75"/>
    <n v="80"/>
  </r>
  <r>
    <x v="0"/>
    <d v="2026-02-09T00:00:00"/>
    <x v="8"/>
    <n v="100"/>
    <n v="84"/>
  </r>
  <r>
    <x v="0"/>
    <d v="2026-02-09T00:00:00"/>
    <x v="9"/>
    <n v="25"/>
    <n v="52"/>
  </r>
  <r>
    <x v="0"/>
    <d v="2026-02-09T00:00:00"/>
    <x v="10"/>
    <n v="62.5"/>
    <n v="80"/>
  </r>
  <r>
    <x v="0"/>
    <d v="2026-02-09T00:00:00"/>
    <x v="11"/>
    <n v="62.5"/>
    <n v="36"/>
  </r>
  <r>
    <x v="1"/>
    <d v="2026-02-09T00:00:00"/>
    <x v="0"/>
    <n v="23.81"/>
    <n v="20"/>
  </r>
  <r>
    <x v="1"/>
    <d v="2026-02-09T00:00:00"/>
    <x v="1"/>
    <n v="42.86"/>
    <n v="40"/>
  </r>
  <r>
    <x v="1"/>
    <d v="2026-02-09T00:00:00"/>
    <x v="2"/>
    <n v="33.33"/>
    <n v="28"/>
  </r>
  <r>
    <x v="1"/>
    <d v="2026-02-09T00:00:00"/>
    <x v="3"/>
    <n v="42.86"/>
    <n v="36"/>
  </r>
  <r>
    <x v="1"/>
    <d v="2026-02-09T00:00:00"/>
    <x v="4"/>
    <n v="90.48"/>
    <n v="60"/>
  </r>
  <r>
    <x v="1"/>
    <d v="2026-02-09T00:00:00"/>
    <x v="5"/>
    <n v="57.14"/>
    <n v="50"/>
  </r>
  <r>
    <x v="1"/>
    <d v="2026-02-09T00:00:00"/>
    <x v="6"/>
    <n v="38.1"/>
    <n v="32"/>
  </r>
  <r>
    <x v="1"/>
    <d v="2026-02-09T00:00:00"/>
    <x v="7"/>
    <n v="33.33"/>
    <n v="40"/>
  </r>
  <r>
    <x v="1"/>
    <d v="2026-02-09T00:00:00"/>
    <x v="8"/>
    <n v="61.9"/>
    <n v="28"/>
  </r>
  <r>
    <x v="1"/>
    <d v="2026-02-09T00:00:00"/>
    <x v="9"/>
    <n v="23.81"/>
    <n v="32"/>
  </r>
  <r>
    <x v="1"/>
    <d v="2026-02-09T00:00:00"/>
    <x v="10"/>
    <n v="71.430000000000007"/>
    <n v="56"/>
  </r>
  <r>
    <x v="1"/>
    <d v="2026-02-09T00:00:00"/>
    <x v="11"/>
    <n v="15.87"/>
    <n v="10.67"/>
  </r>
  <r>
    <x v="2"/>
    <d v="2026-02-12T00:00:00"/>
    <x v="0"/>
    <n v="70"/>
    <n v="31.03"/>
  </r>
  <r>
    <x v="2"/>
    <d v="2026-02-12T00:00:00"/>
    <x v="1"/>
    <n v="70"/>
    <n v="48.28"/>
  </r>
  <r>
    <x v="2"/>
    <d v="2026-02-12T00:00:00"/>
    <x v="2"/>
    <n v="80"/>
    <n v="31.03"/>
  </r>
  <r>
    <x v="2"/>
    <d v="2026-02-12T00:00:00"/>
    <x v="3"/>
    <n v="80"/>
    <n v="51.72"/>
  </r>
  <r>
    <x v="2"/>
    <d v="2026-02-12T00:00:00"/>
    <x v="4"/>
    <n v="70"/>
    <n v="44.83"/>
  </r>
  <r>
    <x v="2"/>
    <d v="2026-02-12T00:00:00"/>
    <x v="5"/>
    <n v="80"/>
    <n v="56.9"/>
  </r>
  <r>
    <x v="2"/>
    <d v="2026-02-12T00:00:00"/>
    <x v="6"/>
    <n v="80"/>
    <n v="48.28"/>
  </r>
  <r>
    <x v="2"/>
    <d v="2026-02-12T00:00:00"/>
    <x v="7"/>
    <n v="80"/>
    <n v="44.83"/>
  </r>
  <r>
    <x v="2"/>
    <d v="2026-02-12T00:00:00"/>
    <x v="8"/>
    <n v="80"/>
    <n v="48.28"/>
  </r>
  <r>
    <x v="2"/>
    <d v="2026-02-12T00:00:00"/>
    <x v="9"/>
    <n v="90"/>
    <n v="10.34"/>
  </r>
  <r>
    <x v="2"/>
    <d v="2026-02-12T00:00:00"/>
    <x v="10"/>
    <n v="80"/>
    <n v="41.38"/>
  </r>
  <r>
    <x v="2"/>
    <d v="2026-02-12T00:00:00"/>
    <x v="11"/>
    <n v="40"/>
    <n v="28.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85FE6-8F29-4727-A40E-5D0340A2E3D4}" name="PivotTable24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1:P26" firstHeaderRow="1" firstDataRow="3" firstDataCol="1"/>
  <pivotFields count="5">
    <pivotField axis="axisCol" showAll="0">
      <items count="4">
        <item x="0"/>
        <item x="1"/>
        <item x="2"/>
        <item t="default"/>
      </items>
    </pivotField>
    <pivotField numFmtId="16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0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Average of Manager Absent (%)" fld="3" subtotal="average" baseField="2" baseItem="1"/>
    <dataField name="Average of Manager Present (%)" fld="4" subtotal="average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opLeftCell="G1" zoomScale="70" zoomScaleNormal="70" workbookViewId="0">
      <selection activeCell="H11" sqref="H11:P26"/>
      <pivotSelection pane="bottomRight" showHeader="1" activeRow="10" activeCol="7" previousRow="10" previousCol="7" click="1" r:id="rId1">
        <pivotArea type="all" dataOnly="0" outline="0" fieldPosition="0"/>
      </pivotSelection>
    </sheetView>
  </sheetViews>
  <sheetFormatPr defaultRowHeight="14.4" x14ac:dyDescent="0.3"/>
  <cols>
    <col min="1" max="1" width="26.5546875" bestFit="1" customWidth="1"/>
    <col min="2" max="2" width="16" customWidth="1"/>
    <col min="3" max="3" width="43.33203125" customWidth="1"/>
    <col min="4" max="4" width="17.6640625" style="3" customWidth="1"/>
    <col min="5" max="5" width="18.33203125" bestFit="1" customWidth="1"/>
    <col min="6" max="6" width="18.77734375" bestFit="1" customWidth="1"/>
    <col min="8" max="8" width="51.33203125" style="3" bestFit="1" customWidth="1"/>
    <col min="9" max="9" width="29" bestFit="1" customWidth="1"/>
    <col min="10" max="10" width="29.6640625" bestFit="1" customWidth="1"/>
    <col min="11" max="11" width="29" bestFit="1" customWidth="1"/>
    <col min="12" max="12" width="29.6640625" bestFit="1" customWidth="1"/>
    <col min="13" max="13" width="29" bestFit="1" customWidth="1"/>
    <col min="14" max="14" width="29.6640625" bestFit="1" customWidth="1"/>
    <col min="15" max="15" width="29.77734375" hidden="1" customWidth="1"/>
    <col min="16" max="16" width="30.21875" hidden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16" x14ac:dyDescent="0.3">
      <c r="A2" t="s">
        <v>5</v>
      </c>
      <c r="B2" s="2">
        <v>46062</v>
      </c>
      <c r="C2" t="s">
        <v>50</v>
      </c>
      <c r="D2">
        <v>87.5</v>
      </c>
      <c r="E2">
        <v>48</v>
      </c>
    </row>
    <row r="3" spans="1:16" x14ac:dyDescent="0.3">
      <c r="A3" t="s">
        <v>5</v>
      </c>
      <c r="B3" s="2">
        <v>46062</v>
      </c>
      <c r="C3" t="s">
        <v>51</v>
      </c>
      <c r="D3">
        <v>25</v>
      </c>
      <c r="E3">
        <v>76</v>
      </c>
    </row>
    <row r="4" spans="1:16" x14ac:dyDescent="0.3">
      <c r="A4" t="s">
        <v>5</v>
      </c>
      <c r="B4" s="2">
        <v>46062</v>
      </c>
      <c r="C4" t="s">
        <v>52</v>
      </c>
      <c r="D4">
        <v>75</v>
      </c>
      <c r="E4">
        <v>76</v>
      </c>
    </row>
    <row r="5" spans="1:16" x14ac:dyDescent="0.3">
      <c r="A5" t="s">
        <v>5</v>
      </c>
      <c r="B5" s="2">
        <v>46062</v>
      </c>
      <c r="C5" t="s">
        <v>53</v>
      </c>
      <c r="D5">
        <v>37.5</v>
      </c>
      <c r="E5">
        <v>44</v>
      </c>
    </row>
    <row r="6" spans="1:16" x14ac:dyDescent="0.3">
      <c r="A6" t="s">
        <v>5</v>
      </c>
      <c r="B6" s="2">
        <v>46062</v>
      </c>
      <c r="C6" t="s">
        <v>54</v>
      </c>
      <c r="D6">
        <v>100</v>
      </c>
      <c r="E6">
        <v>96</v>
      </c>
    </row>
    <row r="7" spans="1:16" x14ac:dyDescent="0.3">
      <c r="A7" t="s">
        <v>5</v>
      </c>
      <c r="B7" s="2">
        <v>46062</v>
      </c>
      <c r="C7" t="s">
        <v>55</v>
      </c>
      <c r="D7">
        <v>56.25</v>
      </c>
      <c r="E7">
        <v>82</v>
      </c>
    </row>
    <row r="8" spans="1:16" x14ac:dyDescent="0.3">
      <c r="A8" t="s">
        <v>5</v>
      </c>
      <c r="B8" s="2">
        <v>46062</v>
      </c>
      <c r="C8" t="s">
        <v>56</v>
      </c>
      <c r="D8">
        <v>75</v>
      </c>
      <c r="E8">
        <v>72</v>
      </c>
      <c r="G8" s="8"/>
      <c r="H8"/>
    </row>
    <row r="9" spans="1:16" x14ac:dyDescent="0.3">
      <c r="A9" t="s">
        <v>5</v>
      </c>
      <c r="B9" s="2">
        <v>46062</v>
      </c>
      <c r="C9" t="s">
        <v>57</v>
      </c>
      <c r="D9">
        <v>75</v>
      </c>
      <c r="E9">
        <v>80</v>
      </c>
      <c r="G9" s="8"/>
      <c r="H9"/>
    </row>
    <row r="10" spans="1:16" x14ac:dyDescent="0.3">
      <c r="A10" t="s">
        <v>5</v>
      </c>
      <c r="B10" s="2">
        <v>46062</v>
      </c>
      <c r="C10" t="s">
        <v>58</v>
      </c>
      <c r="D10">
        <v>100</v>
      </c>
      <c r="E10">
        <v>84</v>
      </c>
      <c r="G10" s="8"/>
      <c r="H10"/>
    </row>
    <row r="11" spans="1:16" x14ac:dyDescent="0.3">
      <c r="A11" t="s">
        <v>5</v>
      </c>
      <c r="B11" s="2">
        <v>46062</v>
      </c>
      <c r="C11" t="s">
        <v>59</v>
      </c>
      <c r="D11">
        <v>25</v>
      </c>
      <c r="E11">
        <v>52</v>
      </c>
      <c r="G11" s="8"/>
      <c r="H11"/>
      <c r="I11" s="5" t="s">
        <v>9</v>
      </c>
    </row>
    <row r="12" spans="1:16" x14ac:dyDescent="0.3">
      <c r="A12" t="s">
        <v>5</v>
      </c>
      <c r="B12" s="2">
        <v>46062</v>
      </c>
      <c r="C12" t="s">
        <v>60</v>
      </c>
      <c r="D12">
        <v>62.5</v>
      </c>
      <c r="E12">
        <v>80</v>
      </c>
      <c r="G12" s="8"/>
      <c r="H12"/>
      <c r="I12" t="s">
        <v>5</v>
      </c>
      <c r="K12" t="s">
        <v>6</v>
      </c>
      <c r="M12" t="s">
        <v>7</v>
      </c>
      <c r="O12" t="s">
        <v>12</v>
      </c>
      <c r="P12" t="s">
        <v>32</v>
      </c>
    </row>
    <row r="13" spans="1:16" x14ac:dyDescent="0.3">
      <c r="A13" t="s">
        <v>5</v>
      </c>
      <c r="B13" s="2">
        <v>46062</v>
      </c>
      <c r="C13" t="s">
        <v>61</v>
      </c>
      <c r="D13">
        <v>62.5</v>
      </c>
      <c r="E13">
        <v>36</v>
      </c>
      <c r="G13" s="8"/>
      <c r="H13" s="5" t="s">
        <v>11</v>
      </c>
      <c r="I13" t="s">
        <v>13</v>
      </c>
      <c r="J13" t="s">
        <v>33</v>
      </c>
      <c r="K13" t="s">
        <v>13</v>
      </c>
      <c r="L13" t="s">
        <v>33</v>
      </c>
      <c r="M13" t="s">
        <v>13</v>
      </c>
      <c r="N13" t="s">
        <v>33</v>
      </c>
    </row>
    <row r="14" spans="1:16" x14ac:dyDescent="0.3">
      <c r="A14" t="s">
        <v>6</v>
      </c>
      <c r="B14" s="2">
        <v>46062</v>
      </c>
      <c r="C14" t="s">
        <v>50</v>
      </c>
      <c r="D14">
        <v>23.81</v>
      </c>
      <c r="E14">
        <v>20</v>
      </c>
      <c r="G14" s="8"/>
      <c r="H14" s="7" t="s">
        <v>50</v>
      </c>
      <c r="I14" s="6">
        <v>87.5</v>
      </c>
      <c r="J14" s="6">
        <v>48</v>
      </c>
      <c r="K14" s="6">
        <v>23.81</v>
      </c>
      <c r="L14" s="6">
        <v>20</v>
      </c>
      <c r="M14" s="6">
        <v>70</v>
      </c>
      <c r="N14" s="6">
        <v>31.03</v>
      </c>
      <c r="O14" s="6">
        <v>60.436666666666667</v>
      </c>
      <c r="P14" s="6">
        <v>33.01</v>
      </c>
    </row>
    <row r="15" spans="1:16" x14ac:dyDescent="0.3">
      <c r="A15" t="s">
        <v>6</v>
      </c>
      <c r="B15" s="2">
        <v>46062</v>
      </c>
      <c r="C15" t="s">
        <v>51</v>
      </c>
      <c r="D15">
        <v>42.86</v>
      </c>
      <c r="E15">
        <v>40</v>
      </c>
      <c r="G15" s="8"/>
      <c r="H15" s="7" t="s">
        <v>51</v>
      </c>
      <c r="I15" s="6">
        <v>25</v>
      </c>
      <c r="J15" s="6">
        <v>76</v>
      </c>
      <c r="K15" s="6">
        <v>42.86</v>
      </c>
      <c r="L15" s="6">
        <v>40</v>
      </c>
      <c r="M15" s="6">
        <v>70</v>
      </c>
      <c r="N15" s="6">
        <v>48.28</v>
      </c>
      <c r="O15" s="6">
        <v>45.95333333333334</v>
      </c>
      <c r="P15" s="6">
        <v>54.76</v>
      </c>
    </row>
    <row r="16" spans="1:16" x14ac:dyDescent="0.3">
      <c r="A16" t="s">
        <v>6</v>
      </c>
      <c r="B16" s="2">
        <v>46062</v>
      </c>
      <c r="C16" t="s">
        <v>52</v>
      </c>
      <c r="D16">
        <v>33.33</v>
      </c>
      <c r="E16">
        <v>28</v>
      </c>
      <c r="G16" s="8"/>
      <c r="H16" s="7" t="s">
        <v>52</v>
      </c>
      <c r="I16" s="6">
        <v>75</v>
      </c>
      <c r="J16" s="6">
        <v>76</v>
      </c>
      <c r="K16" s="6">
        <v>33.33</v>
      </c>
      <c r="L16" s="6">
        <v>28</v>
      </c>
      <c r="M16" s="6">
        <v>80</v>
      </c>
      <c r="N16" s="6">
        <v>31.03</v>
      </c>
      <c r="O16" s="6">
        <v>62.776666666666664</v>
      </c>
      <c r="P16" s="6">
        <v>45.01</v>
      </c>
    </row>
    <row r="17" spans="1:16" x14ac:dyDescent="0.3">
      <c r="A17" t="s">
        <v>6</v>
      </c>
      <c r="B17" s="2">
        <v>46062</v>
      </c>
      <c r="C17" t="s">
        <v>53</v>
      </c>
      <c r="D17">
        <v>42.86</v>
      </c>
      <c r="E17">
        <v>36</v>
      </c>
      <c r="G17" s="8"/>
      <c r="H17" s="7" t="s">
        <v>53</v>
      </c>
      <c r="I17" s="6">
        <v>37.5</v>
      </c>
      <c r="J17" s="6">
        <v>44</v>
      </c>
      <c r="K17" s="6">
        <v>42.86</v>
      </c>
      <c r="L17" s="6">
        <v>36</v>
      </c>
      <c r="M17" s="6">
        <v>80</v>
      </c>
      <c r="N17" s="6">
        <v>51.72</v>
      </c>
      <c r="O17" s="6">
        <v>53.45333333333334</v>
      </c>
      <c r="P17" s="6">
        <v>43.906666666666666</v>
      </c>
    </row>
    <row r="18" spans="1:16" x14ac:dyDescent="0.3">
      <c r="A18" t="s">
        <v>6</v>
      </c>
      <c r="B18" s="2">
        <v>46062</v>
      </c>
      <c r="C18" t="s">
        <v>54</v>
      </c>
      <c r="D18">
        <v>90.48</v>
      </c>
      <c r="E18">
        <v>60</v>
      </c>
      <c r="G18" s="8"/>
      <c r="H18" s="7" t="s">
        <v>54</v>
      </c>
      <c r="I18" s="6">
        <v>100</v>
      </c>
      <c r="J18" s="6">
        <v>96</v>
      </c>
      <c r="K18" s="6">
        <v>90.48</v>
      </c>
      <c r="L18" s="6">
        <v>60</v>
      </c>
      <c r="M18" s="6">
        <v>70</v>
      </c>
      <c r="N18" s="6">
        <v>44.83</v>
      </c>
      <c r="O18" s="6">
        <v>86.826666666666668</v>
      </c>
      <c r="P18" s="6">
        <v>66.943333333333328</v>
      </c>
    </row>
    <row r="19" spans="1:16" x14ac:dyDescent="0.3">
      <c r="A19" t="s">
        <v>6</v>
      </c>
      <c r="B19" s="2">
        <v>46062</v>
      </c>
      <c r="C19" t="s">
        <v>55</v>
      </c>
      <c r="D19">
        <v>57.14</v>
      </c>
      <c r="E19">
        <v>50</v>
      </c>
      <c r="G19" s="8"/>
      <c r="H19" s="7" t="s">
        <v>55</v>
      </c>
      <c r="I19" s="6">
        <v>56.25</v>
      </c>
      <c r="J19" s="6">
        <v>82</v>
      </c>
      <c r="K19" s="6">
        <v>57.14</v>
      </c>
      <c r="L19" s="6">
        <v>50</v>
      </c>
      <c r="M19" s="6">
        <v>80</v>
      </c>
      <c r="N19" s="6">
        <v>56.9</v>
      </c>
      <c r="O19" s="6">
        <v>64.463333333333324</v>
      </c>
      <c r="P19" s="6">
        <v>62.966666666666669</v>
      </c>
    </row>
    <row r="20" spans="1:16" x14ac:dyDescent="0.3">
      <c r="A20" t="s">
        <v>6</v>
      </c>
      <c r="B20" s="2">
        <v>46062</v>
      </c>
      <c r="C20" t="s">
        <v>56</v>
      </c>
      <c r="D20">
        <v>38.1</v>
      </c>
      <c r="E20">
        <v>32</v>
      </c>
      <c r="G20" s="8"/>
      <c r="H20" s="7" t="s">
        <v>56</v>
      </c>
      <c r="I20" s="6">
        <v>75</v>
      </c>
      <c r="J20" s="6">
        <v>72</v>
      </c>
      <c r="K20" s="6">
        <v>38.1</v>
      </c>
      <c r="L20" s="6">
        <v>32</v>
      </c>
      <c r="M20" s="6">
        <v>80</v>
      </c>
      <c r="N20" s="6">
        <v>48.28</v>
      </c>
      <c r="O20" s="6">
        <v>64.36666666666666</v>
      </c>
      <c r="P20" s="6">
        <v>50.76</v>
      </c>
    </row>
    <row r="21" spans="1:16" x14ac:dyDescent="0.3">
      <c r="A21" t="s">
        <v>6</v>
      </c>
      <c r="B21" s="2">
        <v>46062</v>
      </c>
      <c r="C21" t="s">
        <v>57</v>
      </c>
      <c r="D21">
        <v>33.33</v>
      </c>
      <c r="E21">
        <v>40</v>
      </c>
      <c r="G21" s="8"/>
      <c r="H21" s="7" t="s">
        <v>57</v>
      </c>
      <c r="I21" s="6">
        <v>75</v>
      </c>
      <c r="J21" s="6">
        <v>80</v>
      </c>
      <c r="K21" s="6">
        <v>33.33</v>
      </c>
      <c r="L21" s="6">
        <v>40</v>
      </c>
      <c r="M21" s="6">
        <v>80</v>
      </c>
      <c r="N21" s="6">
        <v>44.83</v>
      </c>
      <c r="O21" s="6">
        <v>62.776666666666664</v>
      </c>
      <c r="P21" s="6">
        <v>54.943333333333328</v>
      </c>
    </row>
    <row r="22" spans="1:16" x14ac:dyDescent="0.3">
      <c r="A22" t="s">
        <v>6</v>
      </c>
      <c r="B22" s="2">
        <v>46062</v>
      </c>
      <c r="C22" t="s">
        <v>58</v>
      </c>
      <c r="D22">
        <v>61.9</v>
      </c>
      <c r="E22">
        <v>28</v>
      </c>
      <c r="G22" s="8"/>
      <c r="H22" s="7" t="s">
        <v>58</v>
      </c>
      <c r="I22" s="6">
        <v>100</v>
      </c>
      <c r="J22" s="6">
        <v>84</v>
      </c>
      <c r="K22" s="6">
        <v>61.9</v>
      </c>
      <c r="L22" s="6">
        <v>28</v>
      </c>
      <c r="M22" s="6">
        <v>80</v>
      </c>
      <c r="N22" s="6">
        <v>48.28</v>
      </c>
      <c r="O22" s="6">
        <v>80.63333333333334</v>
      </c>
      <c r="P22" s="6">
        <v>53.426666666666669</v>
      </c>
    </row>
    <row r="23" spans="1:16" x14ac:dyDescent="0.3">
      <c r="A23" t="s">
        <v>6</v>
      </c>
      <c r="B23" s="2">
        <v>46062</v>
      </c>
      <c r="C23" t="s">
        <v>59</v>
      </c>
      <c r="D23">
        <v>23.81</v>
      </c>
      <c r="E23">
        <v>32</v>
      </c>
      <c r="G23" s="8"/>
      <c r="H23" s="7" t="s">
        <v>59</v>
      </c>
      <c r="I23" s="6">
        <v>25</v>
      </c>
      <c r="J23" s="6">
        <v>52</v>
      </c>
      <c r="K23" s="6">
        <v>23.81</v>
      </c>
      <c r="L23" s="6">
        <v>32</v>
      </c>
      <c r="M23" s="6">
        <v>90</v>
      </c>
      <c r="N23" s="6">
        <v>10.34</v>
      </c>
      <c r="O23" s="6">
        <v>46.27</v>
      </c>
      <c r="P23" s="6">
        <v>31.446666666666669</v>
      </c>
    </row>
    <row r="24" spans="1:16" x14ac:dyDescent="0.3">
      <c r="A24" t="s">
        <v>6</v>
      </c>
      <c r="B24" s="2">
        <v>46062</v>
      </c>
      <c r="C24" t="s">
        <v>60</v>
      </c>
      <c r="D24">
        <v>71.430000000000007</v>
      </c>
      <c r="E24">
        <v>56</v>
      </c>
      <c r="G24" s="8"/>
      <c r="H24" s="7" t="s">
        <v>60</v>
      </c>
      <c r="I24" s="6">
        <v>62.5</v>
      </c>
      <c r="J24" s="6">
        <v>80</v>
      </c>
      <c r="K24" s="6">
        <v>71.430000000000007</v>
      </c>
      <c r="L24" s="6">
        <v>56</v>
      </c>
      <c r="M24" s="6">
        <v>80</v>
      </c>
      <c r="N24" s="6">
        <v>41.38</v>
      </c>
      <c r="O24" s="6">
        <v>71.31</v>
      </c>
      <c r="P24" s="6">
        <v>59.126666666666665</v>
      </c>
    </row>
    <row r="25" spans="1:16" x14ac:dyDescent="0.3">
      <c r="A25" t="s">
        <v>6</v>
      </c>
      <c r="B25" s="2">
        <v>46062</v>
      </c>
      <c r="C25" t="s">
        <v>61</v>
      </c>
      <c r="D25">
        <v>15.87</v>
      </c>
      <c r="E25">
        <v>10.67</v>
      </c>
      <c r="H25" s="7" t="s">
        <v>61</v>
      </c>
      <c r="I25" s="6">
        <v>62.5</v>
      </c>
      <c r="J25" s="6">
        <v>36</v>
      </c>
      <c r="K25" s="6">
        <v>15.87</v>
      </c>
      <c r="L25" s="6">
        <v>10.67</v>
      </c>
      <c r="M25" s="6">
        <v>40</v>
      </c>
      <c r="N25" s="6">
        <v>28.74</v>
      </c>
      <c r="O25" s="6">
        <v>39.456666666666671</v>
      </c>
      <c r="P25" s="6">
        <v>25.136666666666667</v>
      </c>
    </row>
    <row r="26" spans="1:16" x14ac:dyDescent="0.3">
      <c r="A26" t="s">
        <v>7</v>
      </c>
      <c r="B26" s="2">
        <v>46065</v>
      </c>
      <c r="C26" t="s">
        <v>50</v>
      </c>
      <c r="D26">
        <v>70</v>
      </c>
      <c r="E26">
        <v>31.03</v>
      </c>
      <c r="H26" s="7" t="s">
        <v>10</v>
      </c>
      <c r="I26" s="6">
        <v>65.104166666666671</v>
      </c>
      <c r="J26" s="6">
        <v>68.833333333333329</v>
      </c>
      <c r="K26" s="6">
        <v>44.576666666666661</v>
      </c>
      <c r="L26" s="6">
        <v>36.055833333333332</v>
      </c>
      <c r="M26" s="6">
        <v>75</v>
      </c>
      <c r="N26" s="6">
        <v>40.469999999999992</v>
      </c>
      <c r="O26" s="6">
        <v>61.56027777777777</v>
      </c>
      <c r="P26" s="6">
        <v>48.453055555555558</v>
      </c>
    </row>
    <row r="27" spans="1:16" x14ac:dyDescent="0.3">
      <c r="A27" t="s">
        <v>7</v>
      </c>
      <c r="B27" s="2">
        <v>46065</v>
      </c>
      <c r="C27" t="s">
        <v>51</v>
      </c>
      <c r="D27">
        <v>70</v>
      </c>
      <c r="E27">
        <v>48.28</v>
      </c>
      <c r="H27"/>
    </row>
    <row r="28" spans="1:16" x14ac:dyDescent="0.3">
      <c r="A28" t="s">
        <v>7</v>
      </c>
      <c r="B28" s="2">
        <v>46065</v>
      </c>
      <c r="C28" t="s">
        <v>52</v>
      </c>
      <c r="D28">
        <v>80</v>
      </c>
      <c r="E28">
        <v>31.03</v>
      </c>
      <c r="H28"/>
    </row>
    <row r="29" spans="1:16" x14ac:dyDescent="0.3">
      <c r="A29" t="s">
        <v>7</v>
      </c>
      <c r="B29" s="2">
        <v>46065</v>
      </c>
      <c r="C29" t="s">
        <v>53</v>
      </c>
      <c r="D29">
        <v>80</v>
      </c>
      <c r="E29">
        <v>51.72</v>
      </c>
    </row>
    <row r="30" spans="1:16" x14ac:dyDescent="0.3">
      <c r="A30" t="s">
        <v>7</v>
      </c>
      <c r="B30" s="2">
        <v>46065</v>
      </c>
      <c r="C30" t="s">
        <v>54</v>
      </c>
      <c r="D30">
        <v>70</v>
      </c>
      <c r="E30">
        <v>44.83</v>
      </c>
    </row>
    <row r="31" spans="1:16" x14ac:dyDescent="0.3">
      <c r="A31" t="s">
        <v>7</v>
      </c>
      <c r="B31" s="2">
        <v>46065</v>
      </c>
      <c r="C31" t="s">
        <v>55</v>
      </c>
      <c r="D31">
        <v>80</v>
      </c>
      <c r="E31">
        <v>56.9</v>
      </c>
    </row>
    <row r="32" spans="1:16" x14ac:dyDescent="0.3">
      <c r="A32" t="s">
        <v>7</v>
      </c>
      <c r="B32" s="2">
        <v>46065</v>
      </c>
      <c r="C32" t="s">
        <v>56</v>
      </c>
      <c r="D32">
        <v>80</v>
      </c>
      <c r="E32">
        <v>48.28</v>
      </c>
    </row>
    <row r="33" spans="1:8" x14ac:dyDescent="0.3">
      <c r="A33" t="s">
        <v>7</v>
      </c>
      <c r="B33" s="2">
        <v>46065</v>
      </c>
      <c r="C33" t="s">
        <v>57</v>
      </c>
      <c r="D33">
        <v>80</v>
      </c>
      <c r="E33">
        <v>44.83</v>
      </c>
    </row>
    <row r="34" spans="1:8" x14ac:dyDescent="0.3">
      <c r="A34" t="s">
        <v>7</v>
      </c>
      <c r="B34" s="2">
        <v>46065</v>
      </c>
      <c r="C34" t="s">
        <v>58</v>
      </c>
      <c r="D34">
        <v>80</v>
      </c>
      <c r="E34">
        <v>48.28</v>
      </c>
    </row>
    <row r="35" spans="1:8" x14ac:dyDescent="0.3">
      <c r="A35" t="s">
        <v>7</v>
      </c>
      <c r="B35" s="2">
        <v>46065</v>
      </c>
      <c r="C35" t="s">
        <v>59</v>
      </c>
      <c r="D35">
        <v>90</v>
      </c>
      <c r="E35">
        <v>10.34</v>
      </c>
    </row>
    <row r="36" spans="1:8" x14ac:dyDescent="0.3">
      <c r="A36" t="s">
        <v>7</v>
      </c>
      <c r="B36" s="2">
        <v>46065</v>
      </c>
      <c r="C36" t="s">
        <v>60</v>
      </c>
      <c r="D36">
        <v>80</v>
      </c>
      <c r="E36">
        <v>41.38</v>
      </c>
    </row>
    <row r="37" spans="1:8" x14ac:dyDescent="0.3">
      <c r="A37" t="s">
        <v>7</v>
      </c>
      <c r="B37" s="2">
        <v>46065</v>
      </c>
      <c r="C37" t="s">
        <v>61</v>
      </c>
      <c r="D37">
        <v>40</v>
      </c>
      <c r="E37">
        <v>28.74</v>
      </c>
    </row>
    <row r="38" spans="1:8" x14ac:dyDescent="0.3">
      <c r="B38" s="2"/>
      <c r="D38"/>
    </row>
    <row r="39" spans="1:8" x14ac:dyDescent="0.3">
      <c r="B39" s="2"/>
      <c r="D39"/>
    </row>
    <row r="40" spans="1:8" x14ac:dyDescent="0.3">
      <c r="B40" s="2"/>
      <c r="D40"/>
    </row>
    <row r="41" spans="1:8" x14ac:dyDescent="0.3">
      <c r="B41" s="2"/>
      <c r="D41"/>
    </row>
    <row r="42" spans="1:8" x14ac:dyDescent="0.3">
      <c r="B42" s="2"/>
      <c r="D42"/>
    </row>
    <row r="43" spans="1:8" x14ac:dyDescent="0.3">
      <c r="B43" s="2"/>
      <c r="D43"/>
    </row>
    <row r="44" spans="1:8" x14ac:dyDescent="0.3">
      <c r="B44" s="2"/>
      <c r="D44"/>
    </row>
    <row r="45" spans="1:8" x14ac:dyDescent="0.3">
      <c r="B45" s="2"/>
      <c r="D45"/>
    </row>
    <row r="46" spans="1:8" x14ac:dyDescent="0.3">
      <c r="B46" s="2"/>
      <c r="D46"/>
      <c r="F46" s="20"/>
      <c r="G46" s="4" t="s">
        <v>8</v>
      </c>
      <c r="H46" s="4"/>
    </row>
  </sheetData>
  <autoFilter ref="A1:P40" xr:uid="{00000000-0001-0000-0000-000000000000}"/>
  <mergeCells count="1">
    <mergeCell ref="G46:H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C7FD-4219-4C12-8B6C-C013CF8A6A6C}">
  <dimension ref="A1:G15"/>
  <sheetViews>
    <sheetView tabSelected="1" workbookViewId="0">
      <selection activeCell="B29" sqref="B29"/>
    </sheetView>
  </sheetViews>
  <sheetFormatPr defaultRowHeight="14.4" x14ac:dyDescent="0.3"/>
  <cols>
    <col min="1" max="1" width="46.21875" bestFit="1" customWidth="1"/>
    <col min="2" max="2" width="26.88671875" bestFit="1" customWidth="1"/>
    <col min="3" max="3" width="27.44140625" bestFit="1" customWidth="1"/>
    <col min="4" max="4" width="26.88671875" bestFit="1" customWidth="1"/>
    <col min="5" max="5" width="27.44140625" bestFit="1" customWidth="1"/>
    <col min="6" max="6" width="26.88671875" bestFit="1" customWidth="1"/>
    <col min="7" max="7" width="27.44140625" bestFit="1" customWidth="1"/>
  </cols>
  <sheetData>
    <row r="1" spans="1:7" x14ac:dyDescent="0.3">
      <c r="A1" s="27" t="s">
        <v>11</v>
      </c>
      <c r="B1" s="11" t="s">
        <v>5</v>
      </c>
      <c r="C1" s="11"/>
      <c r="D1" s="11" t="s">
        <v>6</v>
      </c>
      <c r="E1" s="11"/>
      <c r="F1" s="11" t="s">
        <v>7</v>
      </c>
      <c r="G1" s="11"/>
    </row>
    <row r="2" spans="1:7" ht="28.8" x14ac:dyDescent="0.3">
      <c r="A2" s="27"/>
      <c r="B2" s="14" t="s">
        <v>13</v>
      </c>
      <c r="C2" s="15" t="s">
        <v>33</v>
      </c>
      <c r="D2" s="14" t="s">
        <v>13</v>
      </c>
      <c r="E2" s="15" t="s">
        <v>33</v>
      </c>
      <c r="F2" s="14" t="s">
        <v>13</v>
      </c>
      <c r="G2" s="15" t="s">
        <v>33</v>
      </c>
    </row>
    <row r="3" spans="1:7" x14ac:dyDescent="0.3">
      <c r="A3" s="8" t="s">
        <v>62</v>
      </c>
      <c r="B3" s="23">
        <v>87.5</v>
      </c>
      <c r="C3" s="23">
        <v>48</v>
      </c>
      <c r="D3" s="23">
        <v>23.81</v>
      </c>
      <c r="E3" s="23">
        <v>20</v>
      </c>
      <c r="F3" s="23">
        <v>70</v>
      </c>
      <c r="G3" s="23">
        <v>31.03</v>
      </c>
    </row>
    <row r="4" spans="1:7" x14ac:dyDescent="0.3">
      <c r="A4" s="8" t="s">
        <v>63</v>
      </c>
      <c r="B4" s="23">
        <v>25</v>
      </c>
      <c r="C4" s="23">
        <v>76</v>
      </c>
      <c r="D4" s="23">
        <v>42.86</v>
      </c>
      <c r="E4" s="23">
        <v>40</v>
      </c>
      <c r="F4" s="23">
        <v>70</v>
      </c>
      <c r="G4" s="23">
        <v>48.28</v>
      </c>
    </row>
    <row r="5" spans="1:7" x14ac:dyDescent="0.3">
      <c r="A5" s="8" t="s">
        <v>64</v>
      </c>
      <c r="B5" s="23">
        <v>75</v>
      </c>
      <c r="C5" s="23">
        <v>76</v>
      </c>
      <c r="D5" s="23">
        <v>33.33</v>
      </c>
      <c r="E5" s="23">
        <v>28</v>
      </c>
      <c r="F5" s="23">
        <v>80</v>
      </c>
      <c r="G5" s="23">
        <v>31.03</v>
      </c>
    </row>
    <row r="6" spans="1:7" x14ac:dyDescent="0.3">
      <c r="A6" s="8" t="s">
        <v>65</v>
      </c>
      <c r="B6" s="23">
        <v>37.5</v>
      </c>
      <c r="C6" s="23">
        <v>44</v>
      </c>
      <c r="D6" s="23">
        <v>42.86</v>
      </c>
      <c r="E6" s="23">
        <v>36</v>
      </c>
      <c r="F6" s="23">
        <v>80</v>
      </c>
      <c r="G6" s="23">
        <v>51.72</v>
      </c>
    </row>
    <row r="7" spans="1:7" x14ac:dyDescent="0.3">
      <c r="A7" s="8" t="s">
        <v>66</v>
      </c>
      <c r="B7" s="23">
        <v>100</v>
      </c>
      <c r="C7" s="23">
        <v>96</v>
      </c>
      <c r="D7" s="23">
        <v>90.48</v>
      </c>
      <c r="E7" s="23">
        <v>60</v>
      </c>
      <c r="F7" s="23">
        <v>70</v>
      </c>
      <c r="G7" s="23">
        <v>44.83</v>
      </c>
    </row>
    <row r="8" spans="1:7" x14ac:dyDescent="0.3">
      <c r="A8" s="8" t="s">
        <v>67</v>
      </c>
      <c r="B8" s="23">
        <v>56.25</v>
      </c>
      <c r="C8" s="23">
        <v>82</v>
      </c>
      <c r="D8" s="23">
        <v>57.14</v>
      </c>
      <c r="E8" s="23">
        <v>50</v>
      </c>
      <c r="F8" s="23">
        <v>80</v>
      </c>
      <c r="G8" s="23">
        <v>56.9</v>
      </c>
    </row>
    <row r="9" spans="1:7" x14ac:dyDescent="0.3">
      <c r="A9" s="8" t="s">
        <v>68</v>
      </c>
      <c r="B9" s="23">
        <v>75</v>
      </c>
      <c r="C9" s="23">
        <v>72</v>
      </c>
      <c r="D9" s="23">
        <v>38.1</v>
      </c>
      <c r="E9" s="23">
        <v>32</v>
      </c>
      <c r="F9" s="23">
        <v>80</v>
      </c>
      <c r="G9" s="23">
        <v>48.28</v>
      </c>
    </row>
    <row r="10" spans="1:7" x14ac:dyDescent="0.3">
      <c r="A10" s="8" t="s">
        <v>69</v>
      </c>
      <c r="B10" s="23">
        <v>75</v>
      </c>
      <c r="C10" s="23">
        <v>80</v>
      </c>
      <c r="D10" s="23">
        <v>33.33</v>
      </c>
      <c r="E10" s="23">
        <v>40</v>
      </c>
      <c r="F10" s="23">
        <v>80</v>
      </c>
      <c r="G10" s="23">
        <v>44.83</v>
      </c>
    </row>
    <row r="11" spans="1:7" x14ac:dyDescent="0.3">
      <c r="A11" s="8" t="s">
        <v>70</v>
      </c>
      <c r="B11" s="23">
        <v>100</v>
      </c>
      <c r="C11" s="23">
        <v>84</v>
      </c>
      <c r="D11" s="23">
        <v>61.9</v>
      </c>
      <c r="E11" s="23">
        <v>28</v>
      </c>
      <c r="F11" s="23">
        <v>80</v>
      </c>
      <c r="G11" s="23">
        <v>48.28</v>
      </c>
    </row>
    <row r="12" spans="1:7" x14ac:dyDescent="0.3">
      <c r="A12" s="8" t="s">
        <v>71</v>
      </c>
      <c r="B12" s="23">
        <v>25</v>
      </c>
      <c r="C12" s="23">
        <v>52</v>
      </c>
      <c r="D12" s="23">
        <v>23.81</v>
      </c>
      <c r="E12" s="23">
        <v>32</v>
      </c>
      <c r="F12" s="23">
        <v>90</v>
      </c>
      <c r="G12" s="23">
        <v>10.34</v>
      </c>
    </row>
    <row r="13" spans="1:7" x14ac:dyDescent="0.3">
      <c r="A13" s="8" t="s">
        <v>72</v>
      </c>
      <c r="B13" s="23">
        <v>62.5</v>
      </c>
      <c r="C13" s="23">
        <v>80</v>
      </c>
      <c r="D13" s="23">
        <v>71.430000000000007</v>
      </c>
      <c r="E13" s="23">
        <v>56</v>
      </c>
      <c r="F13" s="23">
        <v>80</v>
      </c>
      <c r="G13" s="23">
        <v>41.38</v>
      </c>
    </row>
    <row r="14" spans="1:7" x14ac:dyDescent="0.3">
      <c r="A14" s="8" t="s">
        <v>73</v>
      </c>
      <c r="B14" s="23">
        <v>62.5</v>
      </c>
      <c r="C14" s="23">
        <v>36</v>
      </c>
      <c r="D14" s="23">
        <v>15.87</v>
      </c>
      <c r="E14" s="23">
        <v>10.67</v>
      </c>
      <c r="F14" s="23">
        <v>40</v>
      </c>
      <c r="G14" s="23">
        <v>28.74</v>
      </c>
    </row>
    <row r="15" spans="1:7" s="26" customFormat="1" x14ac:dyDescent="0.3">
      <c r="A15" s="28" t="s">
        <v>10</v>
      </c>
      <c r="B15" s="29">
        <v>65.104166666666671</v>
      </c>
      <c r="C15" s="29">
        <v>68.833333333333329</v>
      </c>
      <c r="D15" s="29">
        <v>44.576666666666661</v>
      </c>
      <c r="E15" s="29">
        <v>36.055833333333332</v>
      </c>
      <c r="F15" s="29">
        <v>75</v>
      </c>
      <c r="G15" s="29">
        <v>40.469999999999992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ACAE-463D-4F23-BEB2-803997F8DE8D}">
  <dimension ref="A1:G18"/>
  <sheetViews>
    <sheetView workbookViewId="0">
      <selection activeCell="B1" sqref="B1:C1"/>
    </sheetView>
  </sheetViews>
  <sheetFormatPr defaultRowHeight="14.4" x14ac:dyDescent="0.3"/>
  <cols>
    <col min="1" max="1" width="56.5546875" bestFit="1" customWidth="1"/>
    <col min="2" max="2" width="26.88671875" bestFit="1" customWidth="1"/>
    <col min="3" max="3" width="27.44140625" bestFit="1" customWidth="1"/>
    <col min="4" max="4" width="26.88671875" bestFit="1" customWidth="1"/>
    <col min="5" max="5" width="27.44140625" bestFit="1" customWidth="1"/>
    <col min="6" max="6" width="26.88671875" bestFit="1" customWidth="1"/>
    <col min="7" max="7" width="27.44140625" bestFit="1" customWidth="1"/>
  </cols>
  <sheetData>
    <row r="1" spans="1:7" x14ac:dyDescent="0.3">
      <c r="A1" s="10" t="s">
        <v>49</v>
      </c>
      <c r="B1" s="11" t="s">
        <v>5</v>
      </c>
      <c r="C1" s="11"/>
      <c r="D1" s="11" t="s">
        <v>6</v>
      </c>
      <c r="E1" s="11"/>
      <c r="F1" s="11" t="s">
        <v>7</v>
      </c>
      <c r="G1" s="11"/>
    </row>
    <row r="2" spans="1:7" ht="28.8" x14ac:dyDescent="0.3">
      <c r="A2" s="10"/>
      <c r="B2" s="14" t="s">
        <v>13</v>
      </c>
      <c r="C2" s="22" t="s">
        <v>33</v>
      </c>
      <c r="D2" s="14" t="s">
        <v>13</v>
      </c>
      <c r="E2" s="22" t="s">
        <v>33</v>
      </c>
      <c r="F2" s="14" t="s">
        <v>13</v>
      </c>
      <c r="G2" s="22" t="s">
        <v>33</v>
      </c>
    </row>
    <row r="3" spans="1:7" x14ac:dyDescent="0.3">
      <c r="A3" s="8" t="s">
        <v>34</v>
      </c>
      <c r="B3" s="23">
        <v>87.5</v>
      </c>
      <c r="C3" s="23">
        <v>68</v>
      </c>
      <c r="D3" s="23">
        <v>66.67</v>
      </c>
      <c r="E3" s="23">
        <v>56</v>
      </c>
      <c r="F3" s="23">
        <v>45.45</v>
      </c>
      <c r="G3" s="23">
        <v>39.29</v>
      </c>
    </row>
    <row r="4" spans="1:7" x14ac:dyDescent="0.3">
      <c r="A4" s="8" t="s">
        <v>35</v>
      </c>
      <c r="B4" s="23">
        <v>62.5</v>
      </c>
      <c r="C4" s="23">
        <v>64</v>
      </c>
      <c r="D4" s="23">
        <v>4.76</v>
      </c>
      <c r="E4" s="23">
        <v>32</v>
      </c>
      <c r="F4" s="23">
        <v>45.45</v>
      </c>
      <c r="G4" s="23">
        <v>25</v>
      </c>
    </row>
    <row r="5" spans="1:7" x14ac:dyDescent="0.3">
      <c r="A5" s="8" t="s">
        <v>36</v>
      </c>
      <c r="B5" s="23">
        <v>87.5</v>
      </c>
      <c r="C5" s="23">
        <v>76</v>
      </c>
      <c r="D5" s="23">
        <v>38.1</v>
      </c>
      <c r="E5" s="23">
        <v>28</v>
      </c>
      <c r="F5" s="23">
        <v>27.27</v>
      </c>
      <c r="G5" s="23">
        <v>21.43</v>
      </c>
    </row>
    <row r="6" spans="1:7" x14ac:dyDescent="0.3">
      <c r="A6" s="8" t="s">
        <v>37</v>
      </c>
      <c r="B6" s="23">
        <v>12.5</v>
      </c>
      <c r="C6" s="23">
        <v>20</v>
      </c>
      <c r="D6" s="23">
        <v>19.05</v>
      </c>
      <c r="E6" s="23">
        <v>24</v>
      </c>
      <c r="F6" s="23">
        <v>36.36</v>
      </c>
      <c r="G6" s="23">
        <v>32.14</v>
      </c>
    </row>
    <row r="7" spans="1:7" x14ac:dyDescent="0.3">
      <c r="A7" s="8" t="s">
        <v>38</v>
      </c>
      <c r="B7" s="23">
        <v>75</v>
      </c>
      <c r="C7" s="23">
        <v>56</v>
      </c>
      <c r="D7" s="23">
        <v>61.9</v>
      </c>
      <c r="E7" s="23">
        <v>40</v>
      </c>
      <c r="F7" s="23">
        <v>45.45</v>
      </c>
      <c r="G7" s="23">
        <v>32.14</v>
      </c>
    </row>
    <row r="8" spans="1:7" x14ac:dyDescent="0.3">
      <c r="A8" s="8" t="s">
        <v>39</v>
      </c>
      <c r="B8" s="23">
        <v>100</v>
      </c>
      <c r="C8" s="23">
        <v>92</v>
      </c>
      <c r="D8" s="23">
        <v>57.14</v>
      </c>
      <c r="E8" s="23">
        <v>68</v>
      </c>
      <c r="F8" s="23">
        <v>72.73</v>
      </c>
      <c r="G8" s="23">
        <v>57.14</v>
      </c>
    </row>
    <row r="9" spans="1:7" x14ac:dyDescent="0.3">
      <c r="A9" s="8" t="s">
        <v>40</v>
      </c>
      <c r="B9" s="23">
        <v>12.5</v>
      </c>
      <c r="C9" s="23">
        <v>20</v>
      </c>
      <c r="D9" s="23">
        <v>85.71</v>
      </c>
      <c r="E9" s="23">
        <v>64</v>
      </c>
      <c r="F9" s="23">
        <v>54.55</v>
      </c>
      <c r="G9" s="23">
        <v>28.57</v>
      </c>
    </row>
    <row r="10" spans="1:7" x14ac:dyDescent="0.3">
      <c r="A10" s="8" t="s">
        <v>41</v>
      </c>
      <c r="B10" s="23">
        <v>87.5</v>
      </c>
      <c r="C10" s="23">
        <v>44</v>
      </c>
      <c r="D10" s="23">
        <v>33.33</v>
      </c>
      <c r="E10" s="23">
        <v>32</v>
      </c>
      <c r="F10" s="23">
        <v>9.09</v>
      </c>
      <c r="G10" s="23">
        <v>25</v>
      </c>
    </row>
    <row r="11" spans="1:7" x14ac:dyDescent="0.3">
      <c r="A11" s="8" t="s">
        <v>42</v>
      </c>
      <c r="B11" s="23">
        <v>87.5</v>
      </c>
      <c r="C11" s="23">
        <v>56</v>
      </c>
      <c r="D11" s="23">
        <v>57.14</v>
      </c>
      <c r="E11" s="23">
        <v>36</v>
      </c>
      <c r="F11" s="23">
        <v>9.09</v>
      </c>
      <c r="G11" s="23">
        <v>39.29</v>
      </c>
    </row>
    <row r="12" spans="1:7" x14ac:dyDescent="0.3">
      <c r="A12" s="8" t="s">
        <v>43</v>
      </c>
      <c r="B12" s="23">
        <v>0</v>
      </c>
      <c r="C12" s="23">
        <v>20</v>
      </c>
      <c r="D12" s="23">
        <v>23.81</v>
      </c>
      <c r="E12" s="23">
        <v>28</v>
      </c>
      <c r="F12" s="23">
        <v>36.36</v>
      </c>
      <c r="G12" s="23">
        <v>21.43</v>
      </c>
    </row>
    <row r="13" spans="1:7" x14ac:dyDescent="0.3">
      <c r="A13" s="8" t="s">
        <v>44</v>
      </c>
      <c r="B13" s="23">
        <v>87.5</v>
      </c>
      <c r="C13" s="23">
        <v>16</v>
      </c>
      <c r="D13" s="23">
        <v>23.81</v>
      </c>
      <c r="E13" s="23">
        <v>32</v>
      </c>
      <c r="F13" s="23">
        <v>27.27</v>
      </c>
      <c r="G13" s="23">
        <v>14.29</v>
      </c>
    </row>
    <row r="14" spans="1:7" x14ac:dyDescent="0.3">
      <c r="A14" s="8" t="s">
        <v>45</v>
      </c>
      <c r="B14" s="23">
        <v>12.5</v>
      </c>
      <c r="C14" s="23">
        <v>32</v>
      </c>
      <c r="D14" s="23">
        <v>23.81</v>
      </c>
      <c r="E14" s="23">
        <v>24</v>
      </c>
      <c r="F14" s="23">
        <v>54.55</v>
      </c>
      <c r="G14" s="23">
        <v>25</v>
      </c>
    </row>
    <row r="15" spans="1:7" x14ac:dyDescent="0.3">
      <c r="A15" s="8" t="s">
        <v>46</v>
      </c>
      <c r="B15" s="23">
        <v>100</v>
      </c>
      <c r="C15" s="23">
        <v>92</v>
      </c>
      <c r="D15" s="23">
        <v>66.67</v>
      </c>
      <c r="E15" s="23">
        <v>68</v>
      </c>
      <c r="F15" s="23">
        <v>45.45</v>
      </c>
      <c r="G15" s="23">
        <v>60.71</v>
      </c>
    </row>
    <row r="16" spans="1:7" x14ac:dyDescent="0.3">
      <c r="A16" s="8" t="s">
        <v>47</v>
      </c>
      <c r="B16" s="23">
        <v>0</v>
      </c>
      <c r="C16" s="23">
        <v>24</v>
      </c>
      <c r="D16" s="23">
        <v>23.81</v>
      </c>
      <c r="E16" s="23">
        <v>28</v>
      </c>
      <c r="F16" s="23">
        <v>45.45</v>
      </c>
      <c r="G16" s="23">
        <v>32.14</v>
      </c>
    </row>
    <row r="17" spans="1:7" x14ac:dyDescent="0.3">
      <c r="A17" s="8" t="s">
        <v>48</v>
      </c>
      <c r="B17" s="23">
        <v>87.5</v>
      </c>
      <c r="C17" s="23">
        <v>28</v>
      </c>
      <c r="D17" s="23">
        <v>33.33</v>
      </c>
      <c r="E17" s="23">
        <v>20</v>
      </c>
      <c r="F17" s="23">
        <v>9.09</v>
      </c>
      <c r="G17" s="23">
        <v>25</v>
      </c>
    </row>
    <row r="18" spans="1:7" s="21" customFormat="1" x14ac:dyDescent="0.3">
      <c r="A18" s="24" t="s">
        <v>10</v>
      </c>
      <c r="B18" s="25">
        <v>60</v>
      </c>
      <c r="C18" s="25">
        <v>47.2</v>
      </c>
      <c r="D18" s="25">
        <v>41.269333333333329</v>
      </c>
      <c r="E18" s="25">
        <v>38.666666666666664</v>
      </c>
      <c r="F18" s="25">
        <v>37.573999999999998</v>
      </c>
      <c r="G18" s="25">
        <v>31.904666666666667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9FB2-8FFC-447B-A037-FB20D032D6F9}">
  <dimension ref="A1:G16"/>
  <sheetViews>
    <sheetView zoomScale="70" zoomScaleNormal="70" workbookViewId="0">
      <selection activeCell="C2" sqref="C2"/>
    </sheetView>
  </sheetViews>
  <sheetFormatPr defaultRowHeight="14.4" x14ac:dyDescent="0.3"/>
  <cols>
    <col min="1" max="1" width="35" customWidth="1"/>
    <col min="2" max="2" width="25.88671875" customWidth="1"/>
    <col min="3" max="3" width="28.5546875" customWidth="1"/>
    <col min="4" max="4" width="26.6640625" customWidth="1"/>
    <col min="5" max="5" width="27" customWidth="1"/>
    <col min="6" max="6" width="26.21875" customWidth="1"/>
    <col min="7" max="7" width="27.21875" customWidth="1"/>
  </cols>
  <sheetData>
    <row r="1" spans="1:7" x14ac:dyDescent="0.3">
      <c r="A1" s="10" t="s">
        <v>14</v>
      </c>
      <c r="B1" s="11" t="s">
        <v>5</v>
      </c>
      <c r="C1" s="11"/>
      <c r="D1" s="12" t="s">
        <v>6</v>
      </c>
      <c r="E1" s="12"/>
      <c r="F1" s="13" t="s">
        <v>7</v>
      </c>
      <c r="G1" s="13"/>
    </row>
    <row r="2" spans="1:7" ht="28.8" x14ac:dyDescent="0.3">
      <c r="A2" s="10"/>
      <c r="B2" s="14" t="s">
        <v>15</v>
      </c>
      <c r="C2" s="15" t="s">
        <v>16</v>
      </c>
      <c r="D2" s="14" t="s">
        <v>15</v>
      </c>
      <c r="E2" s="15" t="s">
        <v>16</v>
      </c>
      <c r="F2" s="14" t="s">
        <v>17</v>
      </c>
      <c r="G2" s="15" t="s">
        <v>16</v>
      </c>
    </row>
    <row r="3" spans="1:7" x14ac:dyDescent="0.3">
      <c r="A3" s="9" t="s">
        <v>18</v>
      </c>
      <c r="B3" s="16">
        <v>0</v>
      </c>
      <c r="C3" s="16">
        <v>48</v>
      </c>
      <c r="D3" s="16">
        <v>19.05</v>
      </c>
      <c r="E3" s="16">
        <v>16</v>
      </c>
      <c r="F3" s="16">
        <v>0</v>
      </c>
      <c r="G3" s="16">
        <v>20.69</v>
      </c>
    </row>
    <row r="4" spans="1:7" x14ac:dyDescent="0.3">
      <c r="A4" s="9" t="s">
        <v>19</v>
      </c>
      <c r="B4" s="16">
        <v>50</v>
      </c>
      <c r="C4" s="16">
        <v>60</v>
      </c>
      <c r="D4" s="16">
        <v>47.62</v>
      </c>
      <c r="E4" s="16">
        <v>44</v>
      </c>
      <c r="F4" s="16">
        <v>50</v>
      </c>
      <c r="G4" s="16">
        <v>27.59</v>
      </c>
    </row>
    <row r="5" spans="1:7" x14ac:dyDescent="0.3">
      <c r="A5" s="9" t="s">
        <v>20</v>
      </c>
      <c r="B5" s="16">
        <v>12.5</v>
      </c>
      <c r="C5" s="16">
        <v>16</v>
      </c>
      <c r="D5" s="16">
        <v>52.38</v>
      </c>
      <c r="E5" s="16">
        <v>12</v>
      </c>
      <c r="F5" s="16">
        <v>30</v>
      </c>
      <c r="G5" s="16">
        <v>31.03</v>
      </c>
    </row>
    <row r="6" spans="1:7" x14ac:dyDescent="0.3">
      <c r="A6" s="9" t="s">
        <v>21</v>
      </c>
      <c r="B6" s="16">
        <v>37.5</v>
      </c>
      <c r="C6" s="16">
        <v>52</v>
      </c>
      <c r="D6" s="16">
        <v>33.33</v>
      </c>
      <c r="E6" s="16">
        <v>28</v>
      </c>
      <c r="F6" s="16">
        <v>30</v>
      </c>
      <c r="G6" s="16">
        <v>20.69</v>
      </c>
    </row>
    <row r="7" spans="1:7" x14ac:dyDescent="0.3">
      <c r="A7" s="9" t="s">
        <v>22</v>
      </c>
      <c r="B7" s="16">
        <v>62.5</v>
      </c>
      <c r="C7" s="16">
        <v>60</v>
      </c>
      <c r="D7" s="16">
        <v>66.67</v>
      </c>
      <c r="E7" s="16">
        <v>64</v>
      </c>
      <c r="F7" s="16">
        <v>60</v>
      </c>
      <c r="G7" s="16">
        <v>41.38</v>
      </c>
    </row>
    <row r="8" spans="1:7" x14ac:dyDescent="0.3">
      <c r="A8" s="9" t="s">
        <v>23</v>
      </c>
      <c r="B8" s="16">
        <v>37.5</v>
      </c>
      <c r="C8" s="16">
        <v>46</v>
      </c>
      <c r="D8" s="16">
        <v>33.33</v>
      </c>
      <c r="E8" s="16">
        <v>36</v>
      </c>
      <c r="F8" s="16">
        <v>55</v>
      </c>
      <c r="G8" s="16">
        <v>25.86</v>
      </c>
    </row>
    <row r="9" spans="1:7" x14ac:dyDescent="0.3">
      <c r="A9" s="9" t="s">
        <v>24</v>
      </c>
      <c r="B9" s="16">
        <v>25</v>
      </c>
      <c r="C9" s="16">
        <v>24</v>
      </c>
      <c r="D9" s="16">
        <v>14.29</v>
      </c>
      <c r="E9" s="16">
        <v>24</v>
      </c>
      <c r="F9" s="16">
        <v>40</v>
      </c>
      <c r="G9" s="16">
        <v>10.34</v>
      </c>
    </row>
    <row r="10" spans="1:7" x14ac:dyDescent="0.3">
      <c r="A10" s="9" t="s">
        <v>25</v>
      </c>
      <c r="B10" s="16">
        <v>37.5</v>
      </c>
      <c r="C10" s="16">
        <v>72</v>
      </c>
      <c r="D10" s="16">
        <v>61.9</v>
      </c>
      <c r="E10" s="16">
        <v>56</v>
      </c>
      <c r="F10" s="16">
        <v>30</v>
      </c>
      <c r="G10" s="16">
        <v>41.38</v>
      </c>
    </row>
    <row r="11" spans="1:7" x14ac:dyDescent="0.3">
      <c r="A11" s="9" t="s">
        <v>26</v>
      </c>
      <c r="B11" s="16">
        <v>62.5</v>
      </c>
      <c r="C11" s="16">
        <v>96</v>
      </c>
      <c r="D11" s="16">
        <v>66.67</v>
      </c>
      <c r="E11" s="16">
        <v>76</v>
      </c>
      <c r="F11" s="16">
        <v>50</v>
      </c>
      <c r="G11" s="16">
        <v>55.17</v>
      </c>
    </row>
    <row r="12" spans="1:7" x14ac:dyDescent="0.3">
      <c r="A12" s="9" t="s">
        <v>27</v>
      </c>
      <c r="B12" s="16">
        <v>18.75</v>
      </c>
      <c r="C12" s="16">
        <v>42</v>
      </c>
      <c r="D12" s="16">
        <v>40.479999999999997</v>
      </c>
      <c r="E12" s="16">
        <v>36</v>
      </c>
      <c r="F12" s="16">
        <v>30</v>
      </c>
      <c r="G12" s="16">
        <v>24.14</v>
      </c>
    </row>
    <row r="13" spans="1:7" x14ac:dyDescent="0.3">
      <c r="A13" s="9" t="s">
        <v>28</v>
      </c>
      <c r="B13" s="16">
        <v>25</v>
      </c>
      <c r="C13" s="16">
        <v>28</v>
      </c>
      <c r="D13" s="16">
        <v>52.38</v>
      </c>
      <c r="E13" s="16">
        <v>64</v>
      </c>
      <c r="F13" s="16">
        <v>30</v>
      </c>
      <c r="G13" s="16">
        <v>20.69</v>
      </c>
    </row>
    <row r="14" spans="1:7" x14ac:dyDescent="0.3">
      <c r="A14" s="9" t="s">
        <v>29</v>
      </c>
      <c r="B14" s="16">
        <v>62.5</v>
      </c>
      <c r="C14" s="16">
        <v>72</v>
      </c>
      <c r="D14" s="16">
        <v>61.9</v>
      </c>
      <c r="E14" s="16">
        <v>56</v>
      </c>
      <c r="F14" s="16">
        <v>20</v>
      </c>
      <c r="G14" s="16">
        <v>20.69</v>
      </c>
    </row>
    <row r="15" spans="1:7" x14ac:dyDescent="0.3">
      <c r="A15" s="9" t="s">
        <v>30</v>
      </c>
      <c r="B15" s="16">
        <v>0</v>
      </c>
      <c r="C15" s="16">
        <v>20</v>
      </c>
      <c r="D15" s="16">
        <v>19.05</v>
      </c>
      <c r="E15" s="16">
        <v>16</v>
      </c>
      <c r="F15" s="16">
        <v>40</v>
      </c>
      <c r="G15" s="16">
        <v>10.34</v>
      </c>
    </row>
    <row r="16" spans="1:7" s="19" customFormat="1" x14ac:dyDescent="0.3">
      <c r="A16" s="17" t="s">
        <v>31</v>
      </c>
      <c r="B16" s="18">
        <f>AVERAGE(B3:B15)</f>
        <v>33.17307692307692</v>
      </c>
      <c r="C16" s="18">
        <f t="shared" ref="C16:G16" si="0">AVERAGE(C3:C15)</f>
        <v>48.92307692307692</v>
      </c>
      <c r="D16" s="18">
        <f t="shared" si="0"/>
        <v>43.773076923076921</v>
      </c>
      <c r="E16" s="18">
        <f t="shared" si="0"/>
        <v>40.615384615384613</v>
      </c>
      <c r="F16" s="18">
        <f t="shared" si="0"/>
        <v>35.769230769230766</v>
      </c>
      <c r="G16" s="18">
        <f t="shared" si="0"/>
        <v>26.92230769230769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mat</vt:lpstr>
      <vt:lpstr>sci</vt:lpstr>
      <vt:lpstr>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2026-02-24T04:38:57Z</dcterms:created>
  <dcterms:modified xsi:type="dcterms:W3CDTF">2026-02-24T11:11:36Z</dcterms:modified>
</cp:coreProperties>
</file>