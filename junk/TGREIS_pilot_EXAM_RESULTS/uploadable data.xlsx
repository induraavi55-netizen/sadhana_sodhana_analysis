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TGREIS_pilot_EXAM_RESULTS\"/>
    </mc:Choice>
  </mc:AlternateContent>
  <xr:revisionPtr revIDLastSave="0" documentId="13_ncr:1_{00F8FCDC-543E-4E18-B658-0C78A6FD27B0}" xr6:coauthVersionLast="47" xr6:coauthVersionMax="47" xr10:uidLastSave="{00000000-0000-0000-0000-000000000000}"/>
  <bookViews>
    <workbookView xWindow="-108" yWindow="-108" windowWidth="23256" windowHeight="12456" firstSheet="10" activeTab="12" xr2:uid="{00000000-000D-0000-FFFF-FFFF00000000}"/>
  </bookViews>
  <sheets>
    <sheet name="Charts" sheetId="11" r:id="rId1"/>
    <sheet name="Participation" sheetId="12" r:id="rId2"/>
    <sheet name="grade_7_sub_wise_avg_perf" sheetId="1" r:id="rId3"/>
    <sheet name="grade_7_english_lo" sheetId="2" r:id="rId4"/>
    <sheet name="grade_7_mathematics_lo" sheetId="3" r:id="rId5"/>
    <sheet name="grade_7_science_lo" sheetId="4" r:id="rId6"/>
    <sheet name="grade_7_english_qlvl" sheetId="5" r:id="rId7"/>
    <sheet name="grade_7_mathematics_qlvl" sheetId="6" r:id="rId8"/>
    <sheet name="grade_7_science_qlvl" sheetId="7" r:id="rId9"/>
    <sheet name="grade_7_english_school_subject_" sheetId="8" r:id="rId10"/>
    <sheet name="grade_7_mathematic_school_subje" sheetId="9" r:id="rId11"/>
    <sheet name="grade_7_science_school_subject_" sheetId="10" r:id="rId12"/>
    <sheet name="Sheet1" sheetId="13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2" l="1"/>
  <c r="E33" i="12"/>
</calcChain>
</file>

<file path=xl/sharedStrings.xml><?xml version="1.0" encoding="utf-8"?>
<sst xmlns="http://schemas.openxmlformats.org/spreadsheetml/2006/main" count="344" uniqueCount="164">
  <si>
    <t>Sheet</t>
  </si>
  <si>
    <t>Average Performance (%)</t>
  </si>
  <si>
    <t>English</t>
  </si>
  <si>
    <t>Mathematics</t>
  </si>
  <si>
    <t>Science</t>
  </si>
  <si>
    <t>LO</t>
  </si>
  <si>
    <t>Questions</t>
  </si>
  <si>
    <t>Avg Performance (%)</t>
  </si>
  <si>
    <t>The student will be able to make inferences from the text/explain and justify inferences with evidence from the text.</t>
  </si>
  <si>
    <t>Q7</t>
  </si>
  <si>
    <t>The student will be able to make comparisons within the text.</t>
  </si>
  <si>
    <t>Q8</t>
  </si>
  <si>
    <t>The student will be able to summarise main ideas from more than one paragraph.</t>
  </si>
  <si>
    <t>Q6</t>
  </si>
  <si>
    <t>Preposition</t>
  </si>
  <si>
    <t>Q13</t>
  </si>
  <si>
    <t>Synonym</t>
  </si>
  <si>
    <t>Q15</t>
  </si>
  <si>
    <t>The student will be able to comprehend literal information.</t>
  </si>
  <si>
    <t>Q4</t>
  </si>
  <si>
    <t>The student will be able to identify/explain how information/narrative content is related and contributes to meanings as a whole.</t>
  </si>
  <si>
    <t>Q10,Q3</t>
  </si>
  <si>
    <t>The student will be able to retrieve and record information/identify key details from fiction and non-fiction.</t>
  </si>
  <si>
    <t>Q1</t>
  </si>
  <si>
    <t>The student will be able to identify/explain how meaning is enhanced through choice of words and phrases.</t>
  </si>
  <si>
    <t>Q2</t>
  </si>
  <si>
    <t>The student will be able to predict what might happen from details stated and implied.</t>
  </si>
  <si>
    <t>Q5,Q9</t>
  </si>
  <si>
    <t>Verb</t>
  </si>
  <si>
    <t>Q11</t>
  </si>
  <si>
    <t>Punctuation</t>
  </si>
  <si>
    <t>Q14</t>
  </si>
  <si>
    <t>Article</t>
  </si>
  <si>
    <t>Q12</t>
  </si>
  <si>
    <t>Mode</t>
  </si>
  <si>
    <t>Setting up of an Equation</t>
  </si>
  <si>
    <t>Two special Triangles : Equilateral and Isosceles</t>
  </si>
  <si>
    <t>Operations on Rational Numbers</t>
  </si>
  <si>
    <t>Q1,Q11</t>
  </si>
  <si>
    <t>Properties of addition and subtraction of Integers</t>
  </si>
  <si>
    <t>Pairs of Lines</t>
  </si>
  <si>
    <t>Q10</t>
  </si>
  <si>
    <t>Division of decimal numbers</t>
  </si>
  <si>
    <t>Q5</t>
  </si>
  <si>
    <t>Checking for Parallel Lines</t>
  </si>
  <si>
    <t>Circle Graph or Pie Chart</t>
  </si>
  <si>
    <t>Applications of simple Equations to Practical situations</t>
  </si>
  <si>
    <t>Q9</t>
  </si>
  <si>
    <t>Use of Percentages</t>
  </si>
  <si>
    <t>Q2,Q3,Q4</t>
  </si>
  <si>
    <t>Sum of the lengths of two sides of a Triangle</t>
  </si>
  <si>
    <t>What Do Various Nutrients Do For Our Body?</t>
  </si>
  <si>
    <t>Measuring Speed</t>
  </si>
  <si>
    <t>Measuring Temperature</t>
  </si>
  <si>
    <t>Photosynthesis — Food Making Process In Plants</t>
  </si>
  <si>
    <t>Acids And Bases</t>
  </si>
  <si>
    <t>Hot And Cold</t>
  </si>
  <si>
    <t>Silk</t>
  </si>
  <si>
    <t>Q3</t>
  </si>
  <si>
    <t>Climate And Adaptation</t>
  </si>
  <si>
    <t>Seed Dispersal</t>
  </si>
  <si>
    <t>Modes Of Reproduction</t>
  </si>
  <si>
    <t>Climate</t>
  </si>
  <si>
    <t>Why Do We Respire?</t>
  </si>
  <si>
    <t>Wind Currents Are Generated Due To Uneven Heating On The Earth</t>
  </si>
  <si>
    <t>Heating Effect Of Electric Current</t>
  </si>
  <si>
    <t>Reflection Of Light</t>
  </si>
  <si>
    <t>Difficulty</t>
  </si>
  <si>
    <t>High (Challenge)</t>
  </si>
  <si>
    <t>Q10,Q9</t>
  </si>
  <si>
    <t>Low (Content)</t>
  </si>
  <si>
    <t>Q1,Q12,Q13,Q15,Q4,Q6</t>
  </si>
  <si>
    <t>Medium (Concept)</t>
  </si>
  <si>
    <t>Q11,Q14,Q2,Q3,Q5,Q7,Q8</t>
  </si>
  <si>
    <t>Q1,Q14,Q15,Q4</t>
  </si>
  <si>
    <t>Q5,Q6,Q7,Q8</t>
  </si>
  <si>
    <t>Q10,Q11,Q12,Q13,Q2,Q3,Q9</t>
  </si>
  <si>
    <t>Q11,Q12,Q14,Q15</t>
  </si>
  <si>
    <t>Q1,Q2,Q3,Q5</t>
  </si>
  <si>
    <t>Q10,Q13,Q4,Q6,Q7,Q8,Q9</t>
  </si>
  <si>
    <t>District</t>
  </si>
  <si>
    <t>SchoolName</t>
  </si>
  <si>
    <t>mean_English</t>
  </si>
  <si>
    <t>count_English</t>
  </si>
  <si>
    <t>HanamKonda</t>
  </si>
  <si>
    <t>TGR Institution Girls  Vangara</t>
  </si>
  <si>
    <t>TGR Institution boys Velair</t>
  </si>
  <si>
    <t>Jagtial</t>
  </si>
  <si>
    <t>TGR Institution Boys Peddapur Camp</t>
  </si>
  <si>
    <t>Mancherial</t>
  </si>
  <si>
    <t>TGR Institution Boys  Bellampalli</t>
  </si>
  <si>
    <t>Medak</t>
  </si>
  <si>
    <t>TGR Institution  Boys Toopran</t>
  </si>
  <si>
    <t>Sangareddy</t>
  </si>
  <si>
    <t>TGR Institution Boys  Lingampally</t>
  </si>
  <si>
    <t>TGR Institution Girls  Digwal</t>
  </si>
  <si>
    <t>Siddipet</t>
  </si>
  <si>
    <t>TGR Institution Girls Siddipet</t>
  </si>
  <si>
    <t>Vikarabad</t>
  </si>
  <si>
    <t>TGR Institution Girls  Tandur</t>
  </si>
  <si>
    <t>TGR Institution Girls  Vikarabad</t>
  </si>
  <si>
    <t>Yadadri</t>
  </si>
  <si>
    <t>TGR Institution  Girls  Choutuppal</t>
  </si>
  <si>
    <t>mean_Mathematics</t>
  </si>
  <si>
    <t>count_Mathematics</t>
  </si>
  <si>
    <t>mean_Science</t>
  </si>
  <si>
    <t>count_Science</t>
  </si>
  <si>
    <t>English %</t>
  </si>
  <si>
    <t>Mathematics %</t>
  </si>
  <si>
    <t>Science %</t>
  </si>
  <si>
    <t>Inference</t>
  </si>
  <si>
    <t>Comparison</t>
  </si>
  <si>
    <t>Summarization</t>
  </si>
  <si>
    <t>Detail Retrieval</t>
  </si>
  <si>
    <t>Literal Comprehension</t>
  </si>
  <si>
    <t>Prediction</t>
  </si>
  <si>
    <t>Text Structure</t>
  </si>
  <si>
    <t>Vocabulary</t>
  </si>
  <si>
    <t>Equation Formation</t>
  </si>
  <si>
    <t>Triangle Types</t>
  </si>
  <si>
    <t>Rational Number Operations</t>
  </si>
  <si>
    <t>Integer Properties</t>
  </si>
  <si>
    <t>Line Pairs</t>
  </si>
  <si>
    <t>Decimal Division</t>
  </si>
  <si>
    <t>Parallel Lines</t>
  </si>
  <si>
    <t>Pie Chart</t>
  </si>
  <si>
    <t>Equation Applications</t>
  </si>
  <si>
    <t>Percentages</t>
  </si>
  <si>
    <t>Triangle Inequality</t>
  </si>
  <si>
    <t>Learning outcomes</t>
  </si>
  <si>
    <t>Nutrients Function</t>
  </si>
  <si>
    <t>Speed Measurement</t>
  </si>
  <si>
    <t>Temperature Measurement</t>
  </si>
  <si>
    <t>Photosynthesis</t>
  </si>
  <si>
    <t>Acids and Bases</t>
  </si>
  <si>
    <t>Heat and Temperature</t>
  </si>
  <si>
    <t>Climate and Adaptation</t>
  </si>
  <si>
    <t>Reproduction Modes</t>
  </si>
  <si>
    <t>Respiration</t>
  </si>
  <si>
    <t>Wind Currents</t>
  </si>
  <si>
    <t>Heating Effect of Current</t>
  </si>
  <si>
    <t>Light Reflection</t>
  </si>
  <si>
    <t xml:space="preserve">Learning Gap Diagnosis by Concept </t>
  </si>
  <si>
    <t>Difficulty-level mastery analysis</t>
  </si>
  <si>
    <t>Hidden learning inequality within same classroom</t>
  </si>
  <si>
    <t>Row Labels</t>
  </si>
  <si>
    <t>Sum of performance %</t>
  </si>
  <si>
    <t>TGR inst. B Bellampalli</t>
  </si>
  <si>
    <t>TGR inst. B Peddapur Camp</t>
  </si>
  <si>
    <t>TGR inst. B Toopran</t>
  </si>
  <si>
    <t>TGR inst. B Velair</t>
  </si>
  <si>
    <t>TGR inst. G Digwal</t>
  </si>
  <si>
    <t>TGR inst. G Vangara</t>
  </si>
  <si>
    <t>TGR inst. G Choutuppal</t>
  </si>
  <si>
    <t>TGR inst. B Lingampally</t>
  </si>
  <si>
    <t>TGR inst. G Tandur</t>
  </si>
  <si>
    <t>TGR inst. G Siddipet</t>
  </si>
  <si>
    <t>TGR inst. G Vikarabad</t>
  </si>
  <si>
    <t>Total</t>
  </si>
  <si>
    <t>OverView</t>
  </si>
  <si>
    <t>reg</t>
  </si>
  <si>
    <t>Not participated</t>
  </si>
  <si>
    <t>participated</t>
  </si>
  <si>
    <t>Average of Participation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</si>
</sst>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8081"/>
        <bgColor indexed="64"/>
      </patternFill>
    </fill>
    <fill>
      <patternFill patternType="solid">
        <fgColor rgb="FFB76E79"/>
        <bgColor indexed="64"/>
      </patternFill>
    </fill>
    <fill>
      <patternFill patternType="solid">
        <fgColor rgb="FFA97173"/>
        <bgColor indexed="64"/>
      </patternFill>
    </fill>
    <fill>
      <patternFill patternType="solid">
        <fgColor rgb="FFC48793"/>
        <bgColor indexed="64"/>
      </patternFill>
    </fill>
    <fill>
      <patternFill patternType="solid">
        <fgColor rgb="FF915F6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/>
    <xf numFmtId="9" fontId="0" fillId="0" borderId="1" xfId="0" applyNumberFormat="1" applyBorder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F6F5E"/>
      <color rgb="FF347363"/>
      <color rgb="FFFF1493"/>
      <color rgb="FF915F6D"/>
      <color rgb="FFC48793"/>
      <color rgb="FFA97173"/>
      <color rgb="FFB76E79"/>
      <color rgb="FFC080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Grade-7 Average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grade_7_sub_wise_avg_perf!$B$1</c:f>
              <c:strCache>
                <c:ptCount val="1"/>
                <c:pt idx="0">
                  <c:v>Average Performance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51-496C-AB3A-454A682C397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51-496C-AB3A-454A682C39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51-496C-AB3A-454A682C39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grade_7_sub_wise_avg_perf!$A$2:$A$4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grade_7_sub_wise_avg_perf!$B$2:$B$4</c:f>
              <c:numCache>
                <c:formatCode>General</c:formatCode>
                <c:ptCount val="3"/>
                <c:pt idx="0">
                  <c:v>50</c:v>
                </c:pt>
                <c:pt idx="1">
                  <c:v>62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1-496C-AB3A-454A682C39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139167"/>
        <c:axId val="152140607"/>
      </c:barChart>
      <c:catAx>
        <c:axId val="152139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0607"/>
        <c:crosses val="autoZero"/>
        <c:auto val="1"/>
        <c:lblAlgn val="ctr"/>
        <c:lblOffset val="100"/>
        <c:noMultiLvlLbl val="0"/>
      </c:catAx>
      <c:valAx>
        <c:axId val="15214060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(%)</a:t>
                </a:r>
                <a:endParaRPr lang="en-IN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3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Performance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grade_7_english_school_subject_!$F$26</c:f>
              <c:strCache>
                <c:ptCount val="1"/>
                <c:pt idx="0">
                  <c:v>English %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grade_7_english_school_subject_!$C$27:$D$37</c:f>
              <c:multiLvlStrCache>
                <c:ptCount val="11"/>
                <c:lvl>
                  <c:pt idx="0">
                    <c:v>TGR inst. G Vangara</c:v>
                  </c:pt>
                  <c:pt idx="1">
                    <c:v>TGR inst. B Velair</c:v>
                  </c:pt>
                  <c:pt idx="2">
                    <c:v>TGR inst. B Peddapur Camp</c:v>
                  </c:pt>
                  <c:pt idx="3">
                    <c:v>TGR inst. B Bellampalli</c:v>
                  </c:pt>
                  <c:pt idx="4">
                    <c:v>TGR inst. B Toopran</c:v>
                  </c:pt>
                  <c:pt idx="5">
                    <c:v>TGR inst. B Lingampally</c:v>
                  </c:pt>
                  <c:pt idx="6">
                    <c:v>TGR inst. G Digwal</c:v>
                  </c:pt>
                  <c:pt idx="7">
                    <c:v>TGR inst. G Siddipet</c:v>
                  </c:pt>
                  <c:pt idx="8">
                    <c:v>TGR inst. G Tandur</c:v>
                  </c:pt>
                  <c:pt idx="9">
                    <c:v>TGR inst. G Vikarabad</c:v>
                  </c:pt>
                  <c:pt idx="10">
                    <c:v>TGR inst. G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grade_7_english_school_subject_!$F$27:$F$37</c:f>
              <c:numCache>
                <c:formatCode>0</c:formatCode>
                <c:ptCount val="11"/>
                <c:pt idx="0">
                  <c:v>48.424999999999997</c:v>
                </c:pt>
                <c:pt idx="1">
                  <c:v>52.349397590361448</c:v>
                </c:pt>
                <c:pt idx="2">
                  <c:v>35.186666666666667</c:v>
                </c:pt>
                <c:pt idx="3">
                  <c:v>63</c:v>
                </c:pt>
                <c:pt idx="4">
                  <c:v>80.289156626506028</c:v>
                </c:pt>
                <c:pt idx="5">
                  <c:v>45.804878048780488</c:v>
                </c:pt>
                <c:pt idx="6">
                  <c:v>39.011764705882356</c:v>
                </c:pt>
                <c:pt idx="7">
                  <c:v>39.205479452054803</c:v>
                </c:pt>
                <c:pt idx="8">
                  <c:v>38.228571428571428</c:v>
                </c:pt>
                <c:pt idx="9">
                  <c:v>40.436363636363637</c:v>
                </c:pt>
                <c:pt idx="10">
                  <c:v>59.238095238095241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D-4FFB-8475-EB589284FFD7}"/>
            </c:ext>
          </c:extLst>
        </c:ser>
        <c:ser>
          <c:idx val="1"/>
          <c:order val="1"/>
          <c:tx>
            <c:strRef>
              <c:f>grade_7_english_school_subject_!$G$26</c:f>
              <c:strCache>
                <c:ptCount val="1"/>
                <c:pt idx="0">
                  <c:v>Mathematics %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grade_7_english_school_subject_!$C$27:$D$37</c:f>
              <c:multiLvlStrCache>
                <c:ptCount val="11"/>
                <c:lvl>
                  <c:pt idx="0">
                    <c:v>TGR inst. G Vangara</c:v>
                  </c:pt>
                  <c:pt idx="1">
                    <c:v>TGR inst. B Velair</c:v>
                  </c:pt>
                  <c:pt idx="2">
                    <c:v>TGR inst. B Peddapur Camp</c:v>
                  </c:pt>
                  <c:pt idx="3">
                    <c:v>TGR inst. B Bellampalli</c:v>
                  </c:pt>
                  <c:pt idx="4">
                    <c:v>TGR inst. B Toopran</c:v>
                  </c:pt>
                  <c:pt idx="5">
                    <c:v>TGR inst. B Lingampally</c:v>
                  </c:pt>
                  <c:pt idx="6">
                    <c:v>TGR inst. G Digwal</c:v>
                  </c:pt>
                  <c:pt idx="7">
                    <c:v>TGR inst. G Siddipet</c:v>
                  </c:pt>
                  <c:pt idx="8">
                    <c:v>TGR inst. G Tandur</c:v>
                  </c:pt>
                  <c:pt idx="9">
                    <c:v>TGR inst. G Vikarabad</c:v>
                  </c:pt>
                  <c:pt idx="10">
                    <c:v>TGR inst. G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grade_7_english_school_subject_!$G$27:$G$37</c:f>
              <c:numCache>
                <c:formatCode>0</c:formatCode>
                <c:ptCount val="11"/>
                <c:pt idx="0">
                  <c:v>57.9</c:v>
                </c:pt>
                <c:pt idx="1">
                  <c:v>82.879518072289159</c:v>
                </c:pt>
                <c:pt idx="2">
                  <c:v>32.266666666666673</c:v>
                </c:pt>
                <c:pt idx="3">
                  <c:v>86.678571428571431</c:v>
                </c:pt>
                <c:pt idx="4">
                  <c:v>87.614457831325296</c:v>
                </c:pt>
                <c:pt idx="5">
                  <c:v>72.341463414634148</c:v>
                </c:pt>
                <c:pt idx="6">
                  <c:v>38.341176470588238</c:v>
                </c:pt>
                <c:pt idx="7">
                  <c:v>60.150684931506852</c:v>
                </c:pt>
                <c:pt idx="8">
                  <c:v>53.7</c:v>
                </c:pt>
                <c:pt idx="9">
                  <c:v>36.345454545454537</c:v>
                </c:pt>
                <c:pt idx="10">
                  <c:v>60.797619047619051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D-4FFB-8475-EB589284FFD7}"/>
            </c:ext>
          </c:extLst>
        </c:ser>
        <c:ser>
          <c:idx val="2"/>
          <c:order val="2"/>
          <c:tx>
            <c:strRef>
              <c:f>grade_7_english_school_subject_!$H$26</c:f>
              <c:strCache>
                <c:ptCount val="1"/>
                <c:pt idx="0">
                  <c:v>Science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grade_7_english_school_subject_!$C$27:$D$37</c:f>
              <c:multiLvlStrCache>
                <c:ptCount val="11"/>
                <c:lvl>
                  <c:pt idx="0">
                    <c:v>TGR inst. G Vangara</c:v>
                  </c:pt>
                  <c:pt idx="1">
                    <c:v>TGR inst. B Velair</c:v>
                  </c:pt>
                  <c:pt idx="2">
                    <c:v>TGR inst. B Peddapur Camp</c:v>
                  </c:pt>
                  <c:pt idx="3">
                    <c:v>TGR inst. B Bellampalli</c:v>
                  </c:pt>
                  <c:pt idx="4">
                    <c:v>TGR inst. B Toopran</c:v>
                  </c:pt>
                  <c:pt idx="5">
                    <c:v>TGR inst. B Lingampally</c:v>
                  </c:pt>
                  <c:pt idx="6">
                    <c:v>TGR inst. G Digwal</c:v>
                  </c:pt>
                  <c:pt idx="7">
                    <c:v>TGR inst. G Siddipet</c:v>
                  </c:pt>
                  <c:pt idx="8">
                    <c:v>TGR inst. G Tandur</c:v>
                  </c:pt>
                  <c:pt idx="9">
                    <c:v>TGR inst. G Vikarabad</c:v>
                  </c:pt>
                  <c:pt idx="10">
                    <c:v>TGR inst. G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grade_7_english_school_subject_!$H$27:$H$37</c:f>
              <c:numCache>
                <c:formatCode>0</c:formatCode>
                <c:ptCount val="11"/>
                <c:pt idx="0">
                  <c:v>69.587500000000006</c:v>
                </c:pt>
                <c:pt idx="1">
                  <c:v>75.891566265060234</c:v>
                </c:pt>
                <c:pt idx="2">
                  <c:v>46.853333333333332</c:v>
                </c:pt>
                <c:pt idx="3">
                  <c:v>91.333333333333329</c:v>
                </c:pt>
                <c:pt idx="4">
                  <c:v>88.493975903614455</c:v>
                </c:pt>
                <c:pt idx="5">
                  <c:v>73.963414634146346</c:v>
                </c:pt>
                <c:pt idx="6">
                  <c:v>50.435294117647061</c:v>
                </c:pt>
                <c:pt idx="7">
                  <c:v>37.739726027397261</c:v>
                </c:pt>
                <c:pt idx="8">
                  <c:v>40.614285714285707</c:v>
                </c:pt>
                <c:pt idx="9">
                  <c:v>38.072727272727271</c:v>
                </c:pt>
                <c:pt idx="10">
                  <c:v>70.571428571428569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D-4FFB-8475-EB589284FF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097887"/>
        <c:axId val="152105087"/>
      </c:barChart>
      <c:catAx>
        <c:axId val="15209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school/district</a:t>
                </a:r>
              </a:p>
            </c:rich>
          </c:tx>
          <c:layout>
            <c:manualLayout>
              <c:xMode val="edge"/>
              <c:yMode val="edge"/>
              <c:x val="0.48247251600252378"/>
              <c:y val="0.85628361516285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05087"/>
        <c:crosses val="autoZero"/>
        <c:auto val="1"/>
        <c:lblAlgn val="ctr"/>
        <c:lblOffset val="100"/>
        <c:noMultiLvlLbl val="0"/>
      </c:catAx>
      <c:valAx>
        <c:axId val="1521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perf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English Learning outcome wise</a:t>
            </a:r>
            <a:r>
              <a:rPr lang="en-US" baseline="0"/>
              <a:t> </a:t>
            </a:r>
            <a:r>
              <a:rPr lang="en-US"/>
              <a:t>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grade_7_english_lo!$C$1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grade_7_english_lo!$B$2:$B$14</c:f>
              <c:strCache>
                <c:ptCount val="13"/>
                <c:pt idx="0">
                  <c:v>Inference</c:v>
                </c:pt>
                <c:pt idx="1">
                  <c:v>Comparison</c:v>
                </c:pt>
                <c:pt idx="2">
                  <c:v>Summarization</c:v>
                </c:pt>
                <c:pt idx="3">
                  <c:v>Preposition</c:v>
                </c:pt>
                <c:pt idx="4">
                  <c:v>Synonym</c:v>
                </c:pt>
                <c:pt idx="5">
                  <c:v>Literal Comprehension</c:v>
                </c:pt>
                <c:pt idx="6">
                  <c:v>Text Structure</c:v>
                </c:pt>
                <c:pt idx="7">
                  <c:v>Detail Retrieval</c:v>
                </c:pt>
                <c:pt idx="8">
                  <c:v>Vocabulary</c:v>
                </c:pt>
                <c:pt idx="9">
                  <c:v>Prediction</c:v>
                </c:pt>
                <c:pt idx="10">
                  <c:v>Verb</c:v>
                </c:pt>
                <c:pt idx="11">
                  <c:v>Punctuation</c:v>
                </c:pt>
                <c:pt idx="12">
                  <c:v>Article</c:v>
                </c:pt>
              </c:strCache>
            </c:strRef>
          </c:cat>
          <c:val>
            <c:numRef>
              <c:f>grade_7_english_lo!$C$2:$C$14</c:f>
              <c:numCache>
                <c:formatCode>General</c:formatCode>
                <c:ptCount val="13"/>
                <c:pt idx="0">
                  <c:v>83</c:v>
                </c:pt>
                <c:pt idx="1">
                  <c:v>71</c:v>
                </c:pt>
                <c:pt idx="2">
                  <c:v>64</c:v>
                </c:pt>
                <c:pt idx="3">
                  <c:v>57</c:v>
                </c:pt>
                <c:pt idx="4">
                  <c:v>55</c:v>
                </c:pt>
                <c:pt idx="5">
                  <c:v>55</c:v>
                </c:pt>
                <c:pt idx="6">
                  <c:v>48</c:v>
                </c:pt>
                <c:pt idx="7">
                  <c:v>45</c:v>
                </c:pt>
                <c:pt idx="8">
                  <c:v>43</c:v>
                </c:pt>
                <c:pt idx="9">
                  <c:v>43</c:v>
                </c:pt>
                <c:pt idx="10">
                  <c:v>37</c:v>
                </c:pt>
                <c:pt idx="11">
                  <c:v>30</c:v>
                </c:pt>
                <c:pt idx="1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2-46A6-B96F-B77BB33CAA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95099711"/>
        <c:axId val="295101631"/>
      </c:barChart>
      <c:catAx>
        <c:axId val="29509971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Learning outcomes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01631"/>
        <c:crosses val="autoZero"/>
        <c:auto val="1"/>
        <c:lblAlgn val="ctr"/>
        <c:lblOffset val="100"/>
        <c:noMultiLvlLbl val="0"/>
      </c:catAx>
      <c:valAx>
        <c:axId val="295101631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Performance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9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Maths Learning outcome wise Avg Performance (%)</a:t>
            </a:r>
          </a:p>
        </c:rich>
      </c:tx>
      <c:layout>
        <c:manualLayout>
          <c:xMode val="edge"/>
          <c:yMode val="edge"/>
          <c:x val="9.3284558180227475E-2"/>
          <c:y val="2.7613412228796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grade_7_mathematics_lo!$C$1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grade_7_mathematics_lo!$B$2:$B$13</c:f>
              <c:strCache>
                <c:ptCount val="12"/>
                <c:pt idx="0">
                  <c:v>Mode</c:v>
                </c:pt>
                <c:pt idx="1">
                  <c:v>Equation Formation</c:v>
                </c:pt>
                <c:pt idx="2">
                  <c:v>Triangle Types</c:v>
                </c:pt>
                <c:pt idx="3">
                  <c:v>Rational Number Operations</c:v>
                </c:pt>
                <c:pt idx="4">
                  <c:v>Integer Properties</c:v>
                </c:pt>
                <c:pt idx="5">
                  <c:v>Line Pairs</c:v>
                </c:pt>
                <c:pt idx="6">
                  <c:v>Decimal Division</c:v>
                </c:pt>
                <c:pt idx="7">
                  <c:v>Parallel Lines</c:v>
                </c:pt>
                <c:pt idx="8">
                  <c:v>Pie Chart</c:v>
                </c:pt>
                <c:pt idx="9">
                  <c:v>Equation Applications</c:v>
                </c:pt>
                <c:pt idx="10">
                  <c:v>Percentages</c:v>
                </c:pt>
                <c:pt idx="11">
                  <c:v>Triangle Inequality</c:v>
                </c:pt>
              </c:strCache>
            </c:strRef>
          </c:cat>
          <c:val>
            <c:numRef>
              <c:f>grade_7_mathematics_lo!$C$2:$C$13</c:f>
              <c:numCache>
                <c:formatCode>General</c:formatCode>
                <c:ptCount val="12"/>
                <c:pt idx="0">
                  <c:v>87</c:v>
                </c:pt>
                <c:pt idx="1">
                  <c:v>74</c:v>
                </c:pt>
                <c:pt idx="2">
                  <c:v>72</c:v>
                </c:pt>
                <c:pt idx="3">
                  <c:v>69</c:v>
                </c:pt>
                <c:pt idx="4">
                  <c:v>67</c:v>
                </c:pt>
                <c:pt idx="5">
                  <c:v>66</c:v>
                </c:pt>
                <c:pt idx="6">
                  <c:v>65</c:v>
                </c:pt>
                <c:pt idx="7">
                  <c:v>61</c:v>
                </c:pt>
                <c:pt idx="8">
                  <c:v>59</c:v>
                </c:pt>
                <c:pt idx="9">
                  <c:v>51</c:v>
                </c:pt>
                <c:pt idx="10">
                  <c:v>49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E-4100-AD41-7D98490C8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95120831"/>
        <c:axId val="295130911"/>
      </c:barChart>
      <c:catAx>
        <c:axId val="29512083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Learning outcomes</a:t>
                </a: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30911"/>
        <c:crosses val="autoZero"/>
        <c:auto val="1"/>
        <c:lblAlgn val="ctr"/>
        <c:lblOffset val="100"/>
        <c:noMultiLvlLbl val="0"/>
      </c:catAx>
      <c:valAx>
        <c:axId val="2951309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2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Science Learning outcome wise 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grade_7_science_lo!$C$1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grade_7_science_lo!$B$2:$B$16</c:f>
              <c:strCache>
                <c:ptCount val="15"/>
                <c:pt idx="0">
                  <c:v>Nutrients Function</c:v>
                </c:pt>
                <c:pt idx="1">
                  <c:v>Speed Measurement</c:v>
                </c:pt>
                <c:pt idx="2">
                  <c:v>Temperature Measurement</c:v>
                </c:pt>
                <c:pt idx="3">
                  <c:v>Photosynthesis</c:v>
                </c:pt>
                <c:pt idx="4">
                  <c:v>Acids and Bases</c:v>
                </c:pt>
                <c:pt idx="5">
                  <c:v>Heat and Temperature</c:v>
                </c:pt>
                <c:pt idx="6">
                  <c:v>Silk</c:v>
                </c:pt>
                <c:pt idx="7">
                  <c:v>Climate and Adaptation</c:v>
                </c:pt>
                <c:pt idx="8">
                  <c:v>Seed Dispersal</c:v>
                </c:pt>
                <c:pt idx="9">
                  <c:v>Reproduction Modes</c:v>
                </c:pt>
                <c:pt idx="10">
                  <c:v>Climate</c:v>
                </c:pt>
                <c:pt idx="11">
                  <c:v>Respiration</c:v>
                </c:pt>
                <c:pt idx="12">
                  <c:v>Wind Currents</c:v>
                </c:pt>
                <c:pt idx="13">
                  <c:v>Heating Effect of Current</c:v>
                </c:pt>
                <c:pt idx="14">
                  <c:v>Light Reflection</c:v>
                </c:pt>
              </c:strCache>
            </c:strRef>
          </c:cat>
          <c:val>
            <c:numRef>
              <c:f>grade_7_science_lo!$C$2:$C$16</c:f>
              <c:numCache>
                <c:formatCode>General</c:formatCode>
                <c:ptCount val="15"/>
                <c:pt idx="0">
                  <c:v>85</c:v>
                </c:pt>
                <c:pt idx="1">
                  <c:v>79</c:v>
                </c:pt>
                <c:pt idx="2">
                  <c:v>72</c:v>
                </c:pt>
                <c:pt idx="3">
                  <c:v>71</c:v>
                </c:pt>
                <c:pt idx="4">
                  <c:v>69</c:v>
                </c:pt>
                <c:pt idx="5">
                  <c:v>66</c:v>
                </c:pt>
                <c:pt idx="6">
                  <c:v>64</c:v>
                </c:pt>
                <c:pt idx="7">
                  <c:v>61</c:v>
                </c:pt>
                <c:pt idx="8">
                  <c:v>60</c:v>
                </c:pt>
                <c:pt idx="9">
                  <c:v>59</c:v>
                </c:pt>
                <c:pt idx="10">
                  <c:v>57</c:v>
                </c:pt>
                <c:pt idx="11">
                  <c:v>57</c:v>
                </c:pt>
                <c:pt idx="12">
                  <c:v>55</c:v>
                </c:pt>
                <c:pt idx="13">
                  <c:v>52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D-4F58-BBC0-DFAF6E8671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4056127"/>
        <c:axId val="354056607"/>
      </c:barChart>
      <c:catAx>
        <c:axId val="35405612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Learning outcomes</a:t>
                </a: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56607"/>
        <c:crosses val="autoZero"/>
        <c:auto val="1"/>
        <c:lblAlgn val="ctr"/>
        <c:lblOffset val="100"/>
        <c:noMultiLvlLbl val="0"/>
      </c:catAx>
      <c:valAx>
        <c:axId val="35405660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5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English Difficulty Level wise 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grade_7_english_qlvl!$B$1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24-4409-A712-72C61D28CC3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24-4409-A712-72C61D28CC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24-4409-A712-72C61D28CC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grade_7_english_qlvl!$A$2:$A$4</c:f>
              <c:strCache>
                <c:ptCount val="3"/>
                <c:pt idx="0">
                  <c:v>Low (Content)</c:v>
                </c:pt>
                <c:pt idx="1">
                  <c:v>Medium (Concept)</c:v>
                </c:pt>
                <c:pt idx="2">
                  <c:v>High (Challenge)</c:v>
                </c:pt>
              </c:strCache>
            </c:strRef>
          </c:cat>
          <c:val>
            <c:numRef>
              <c:f>grade_7_english_qlvl!$B$2:$B$4</c:f>
              <c:numCache>
                <c:formatCode>General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24-4409-A712-72C61D28CC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497231"/>
        <c:axId val="372500111"/>
      </c:barChart>
      <c:catAx>
        <c:axId val="37249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Difficulty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00111"/>
        <c:crosses val="autoZero"/>
        <c:auto val="1"/>
        <c:lblAlgn val="ctr"/>
        <c:lblOffset val="100"/>
        <c:noMultiLvlLbl val="0"/>
      </c:catAx>
      <c:valAx>
        <c:axId val="372500111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(%)</a:t>
                </a:r>
                <a:endParaRPr lang="en-IN" sz="1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9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Maths Difficulty Level wise 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grade_7_mathematics_qlvl!$B$1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3A-474C-B62A-E90A901C9DE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3A-474C-B62A-E90A901C9DE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3A-474C-B62A-E90A901C9D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grade_7_mathematics_qlvl!$A$2:$A$4</c:f>
              <c:strCache>
                <c:ptCount val="3"/>
                <c:pt idx="0">
                  <c:v>Low (Content)</c:v>
                </c:pt>
                <c:pt idx="1">
                  <c:v>Medium (Concept)</c:v>
                </c:pt>
                <c:pt idx="2">
                  <c:v>High (Challenge)</c:v>
                </c:pt>
              </c:strCache>
            </c:strRef>
          </c:cat>
          <c:val>
            <c:numRef>
              <c:f>grade_7_mathematics_qlvl!$B$2:$B$4</c:f>
              <c:numCache>
                <c:formatCode>General</c:formatCode>
                <c:ptCount val="3"/>
                <c:pt idx="0">
                  <c:v>73</c:v>
                </c:pt>
                <c:pt idx="1">
                  <c:v>54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3A-474C-B62A-E90A901C9D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9676015"/>
        <c:axId val="359676495"/>
      </c:barChart>
      <c:catAx>
        <c:axId val="35967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Difficulty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6495"/>
        <c:crosses val="autoZero"/>
        <c:auto val="1"/>
        <c:lblAlgn val="ctr"/>
        <c:lblOffset val="100"/>
        <c:noMultiLvlLbl val="0"/>
      </c:catAx>
      <c:valAx>
        <c:axId val="35967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(%)</a:t>
                </a:r>
                <a:endParaRPr lang="en-IN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Science Difficulty Level wise 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grade_7_science_qlvl!$B$1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81-4729-BA09-31FC5D6E85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81-4729-BA09-31FC5D6E85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81-4729-BA09-31FC5D6E85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grade_7_science_qlvl!$A$2:$A$4</c:f>
              <c:strCache>
                <c:ptCount val="3"/>
                <c:pt idx="0">
                  <c:v>Low (Content)</c:v>
                </c:pt>
                <c:pt idx="1">
                  <c:v>Medium (Concept)</c:v>
                </c:pt>
                <c:pt idx="2">
                  <c:v>High (Challenge)</c:v>
                </c:pt>
              </c:strCache>
            </c:strRef>
          </c:cat>
          <c:val>
            <c:numRef>
              <c:f>grade_7_science_qlvl!$B$2:$B$4</c:f>
              <c:numCache>
                <c:formatCode>General</c:formatCode>
                <c:ptCount val="3"/>
                <c:pt idx="0">
                  <c:v>73</c:v>
                </c:pt>
                <c:pt idx="1">
                  <c:v>60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81-4729-BA09-31FC5D6E85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1465215"/>
        <c:axId val="371462815"/>
      </c:barChart>
      <c:catAx>
        <c:axId val="37146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Difficulty</a:t>
                </a: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62815"/>
        <c:crosses val="autoZero"/>
        <c:auto val="1"/>
        <c:lblAlgn val="ctr"/>
        <c:lblOffset val="100"/>
        <c:noMultiLvlLbl val="0"/>
      </c:catAx>
      <c:valAx>
        <c:axId val="37146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(%)</a:t>
                </a:r>
                <a:endParaRPr lang="en-IN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6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grade_7_english_school_subject_!$F$26</c:f>
              <c:strCache>
                <c:ptCount val="1"/>
                <c:pt idx="0">
                  <c:v>English %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grade_7_english_school_subject_!$C$27:$D$37</c:f>
              <c:multiLvlStrCache>
                <c:ptCount val="11"/>
                <c:lvl>
                  <c:pt idx="0">
                    <c:v>TGR inst. G Vangara</c:v>
                  </c:pt>
                  <c:pt idx="1">
                    <c:v>TGR inst. B Velair</c:v>
                  </c:pt>
                  <c:pt idx="2">
                    <c:v>TGR inst. B Peddapur Camp</c:v>
                  </c:pt>
                  <c:pt idx="3">
                    <c:v>TGR inst. B Bellampalli</c:v>
                  </c:pt>
                  <c:pt idx="4">
                    <c:v>TGR inst. B Toopran</c:v>
                  </c:pt>
                  <c:pt idx="5">
                    <c:v>TGR inst. B Lingampally</c:v>
                  </c:pt>
                  <c:pt idx="6">
                    <c:v>TGR inst. G Digwal</c:v>
                  </c:pt>
                  <c:pt idx="7">
                    <c:v>TGR inst. G Siddipet</c:v>
                  </c:pt>
                  <c:pt idx="8">
                    <c:v>TGR inst. G Tandur</c:v>
                  </c:pt>
                  <c:pt idx="9">
                    <c:v>TGR inst. G Vikarabad</c:v>
                  </c:pt>
                  <c:pt idx="10">
                    <c:v>TGR inst. G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grade_7_english_school_subject_!$F$27:$F$37</c:f>
              <c:numCache>
                <c:formatCode>0</c:formatCode>
                <c:ptCount val="11"/>
                <c:pt idx="0">
                  <c:v>48.424999999999997</c:v>
                </c:pt>
                <c:pt idx="1">
                  <c:v>52.349397590361448</c:v>
                </c:pt>
                <c:pt idx="2">
                  <c:v>35.186666666666667</c:v>
                </c:pt>
                <c:pt idx="3">
                  <c:v>63</c:v>
                </c:pt>
                <c:pt idx="4">
                  <c:v>80.289156626506028</c:v>
                </c:pt>
                <c:pt idx="5">
                  <c:v>45.804878048780488</c:v>
                </c:pt>
                <c:pt idx="6">
                  <c:v>39.011764705882356</c:v>
                </c:pt>
                <c:pt idx="7">
                  <c:v>39.205479452054803</c:v>
                </c:pt>
                <c:pt idx="8">
                  <c:v>38.228571428571428</c:v>
                </c:pt>
                <c:pt idx="9">
                  <c:v>40.436363636363637</c:v>
                </c:pt>
                <c:pt idx="10">
                  <c:v>59.238095238095241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A-463A-B9A8-922C642196DC}"/>
            </c:ext>
          </c:extLst>
        </c:ser>
        <c:ser>
          <c:idx val="1"/>
          <c:order val="1"/>
          <c:tx>
            <c:strRef>
              <c:f>grade_7_english_school_subject_!$G$26</c:f>
              <c:strCache>
                <c:ptCount val="1"/>
                <c:pt idx="0">
                  <c:v>Mathematics %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grade_7_english_school_subject_!$C$27:$D$37</c:f>
              <c:multiLvlStrCache>
                <c:ptCount val="11"/>
                <c:lvl>
                  <c:pt idx="0">
                    <c:v>TGR inst. G Vangara</c:v>
                  </c:pt>
                  <c:pt idx="1">
                    <c:v>TGR inst. B Velair</c:v>
                  </c:pt>
                  <c:pt idx="2">
                    <c:v>TGR inst. B Peddapur Camp</c:v>
                  </c:pt>
                  <c:pt idx="3">
                    <c:v>TGR inst. B Bellampalli</c:v>
                  </c:pt>
                  <c:pt idx="4">
                    <c:v>TGR inst. B Toopran</c:v>
                  </c:pt>
                  <c:pt idx="5">
                    <c:v>TGR inst. B Lingampally</c:v>
                  </c:pt>
                  <c:pt idx="6">
                    <c:v>TGR inst. G Digwal</c:v>
                  </c:pt>
                  <c:pt idx="7">
                    <c:v>TGR inst. G Siddipet</c:v>
                  </c:pt>
                  <c:pt idx="8">
                    <c:v>TGR inst. G Tandur</c:v>
                  </c:pt>
                  <c:pt idx="9">
                    <c:v>TGR inst. G Vikarabad</c:v>
                  </c:pt>
                  <c:pt idx="10">
                    <c:v>TGR inst. G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grade_7_english_school_subject_!$G$27:$G$37</c:f>
              <c:numCache>
                <c:formatCode>0</c:formatCode>
                <c:ptCount val="11"/>
                <c:pt idx="0">
                  <c:v>57.9</c:v>
                </c:pt>
                <c:pt idx="1">
                  <c:v>82.879518072289159</c:v>
                </c:pt>
                <c:pt idx="2">
                  <c:v>32.266666666666673</c:v>
                </c:pt>
                <c:pt idx="3">
                  <c:v>86.678571428571431</c:v>
                </c:pt>
                <c:pt idx="4">
                  <c:v>87.614457831325296</c:v>
                </c:pt>
                <c:pt idx="5">
                  <c:v>72.341463414634148</c:v>
                </c:pt>
                <c:pt idx="6">
                  <c:v>38.341176470588238</c:v>
                </c:pt>
                <c:pt idx="7">
                  <c:v>60.150684931506852</c:v>
                </c:pt>
                <c:pt idx="8">
                  <c:v>53.7</c:v>
                </c:pt>
                <c:pt idx="9">
                  <c:v>36.345454545454537</c:v>
                </c:pt>
                <c:pt idx="10">
                  <c:v>60.797619047619051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A-463A-B9A8-922C642196DC}"/>
            </c:ext>
          </c:extLst>
        </c:ser>
        <c:ser>
          <c:idx val="2"/>
          <c:order val="2"/>
          <c:tx>
            <c:strRef>
              <c:f>grade_7_english_school_subject_!$H$26</c:f>
              <c:strCache>
                <c:ptCount val="1"/>
                <c:pt idx="0">
                  <c:v>Science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grade_7_english_school_subject_!$C$27:$D$37</c:f>
              <c:multiLvlStrCache>
                <c:ptCount val="11"/>
                <c:lvl>
                  <c:pt idx="0">
                    <c:v>TGR inst. G Vangara</c:v>
                  </c:pt>
                  <c:pt idx="1">
                    <c:v>TGR inst. B Velair</c:v>
                  </c:pt>
                  <c:pt idx="2">
                    <c:v>TGR inst. B Peddapur Camp</c:v>
                  </c:pt>
                  <c:pt idx="3">
                    <c:v>TGR inst. B Bellampalli</c:v>
                  </c:pt>
                  <c:pt idx="4">
                    <c:v>TGR inst. B Toopran</c:v>
                  </c:pt>
                  <c:pt idx="5">
                    <c:v>TGR inst. B Lingampally</c:v>
                  </c:pt>
                  <c:pt idx="6">
                    <c:v>TGR inst. G Digwal</c:v>
                  </c:pt>
                  <c:pt idx="7">
                    <c:v>TGR inst. G Siddipet</c:v>
                  </c:pt>
                  <c:pt idx="8">
                    <c:v>TGR inst. G Tandur</c:v>
                  </c:pt>
                  <c:pt idx="9">
                    <c:v>TGR inst. G Vikarabad</c:v>
                  </c:pt>
                  <c:pt idx="10">
                    <c:v>TGR inst. G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grade_7_english_school_subject_!$H$27:$H$37</c:f>
              <c:numCache>
                <c:formatCode>0</c:formatCode>
                <c:ptCount val="11"/>
                <c:pt idx="0">
                  <c:v>69.587500000000006</c:v>
                </c:pt>
                <c:pt idx="1">
                  <c:v>75.891566265060234</c:v>
                </c:pt>
                <c:pt idx="2">
                  <c:v>46.853333333333332</c:v>
                </c:pt>
                <c:pt idx="3">
                  <c:v>91.333333333333329</c:v>
                </c:pt>
                <c:pt idx="4">
                  <c:v>88.493975903614455</c:v>
                </c:pt>
                <c:pt idx="5">
                  <c:v>73.963414634146346</c:v>
                </c:pt>
                <c:pt idx="6">
                  <c:v>50.435294117647061</c:v>
                </c:pt>
                <c:pt idx="7">
                  <c:v>37.739726027397261</c:v>
                </c:pt>
                <c:pt idx="8">
                  <c:v>40.614285714285707</c:v>
                </c:pt>
                <c:pt idx="9">
                  <c:v>38.072727272727271</c:v>
                </c:pt>
                <c:pt idx="10">
                  <c:v>70.571428571428569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DA-463A-B9A8-922C64219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097887"/>
        <c:axId val="152105087"/>
      </c:barChart>
      <c:catAx>
        <c:axId val="15209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school/district</a:t>
                </a:r>
              </a:p>
            </c:rich>
          </c:tx>
          <c:layout>
            <c:manualLayout>
              <c:xMode val="edge"/>
              <c:yMode val="edge"/>
              <c:x val="0.48247251600252378"/>
              <c:y val="0.85628361516285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05087"/>
        <c:crosses val="autoZero"/>
        <c:auto val="1"/>
        <c:lblAlgn val="ctr"/>
        <c:lblOffset val="100"/>
        <c:noMultiLvlLbl val="0"/>
      </c:catAx>
      <c:valAx>
        <c:axId val="1521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perf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'[1]Participation Data'!$B$17</c:f>
              <c:strCache>
                <c:ptCount val="1"/>
                <c:pt idx="0">
                  <c:v>Average of performance %</c:v>
                </c:pt>
              </c:strCache>
            </c:strRef>
          </c:tx>
          <c:spPr>
            <a:solidFill>
              <a:srgbClr val="34736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36FA9AA-B4BC-43FD-88C6-1B0B71FBE58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98E-4C6A-B622-F2BF39B062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846A09-FB88-4E88-88F8-29A51430CFC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98E-4C6A-B622-F2BF39B062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A80B987-AF20-45F0-AFA1-A55A2BC4600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8E-4C6A-B622-F2BF39B062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97BD45-F52B-4323-AFB0-1685A1E4ADD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98E-4C6A-B622-F2BF39B062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5B3370E-23D1-451D-BAA8-035D8437D50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98E-4C6A-B622-F2BF39B062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B8DE66-B1B4-43AD-A2A4-9D763AD83D0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98E-4C6A-B622-F2BF39B062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16F36E9-F58E-4896-91A2-A7F342DE151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98E-4C6A-B622-F2BF39B062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30D5E1-4E0B-4466-9239-149DDDDA103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98E-4C6A-B622-F2BF39B062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'[1]Participation Data'!$A$18:$A$25</c:f>
              <c:strCache>
                <c:ptCount val="8"/>
                <c:pt idx="0">
                  <c:v>HanamKonda</c:v>
                </c:pt>
                <c:pt idx="1">
                  <c:v>Jagtial</c:v>
                </c:pt>
                <c:pt idx="2">
                  <c:v>Mancherial</c:v>
                </c:pt>
                <c:pt idx="3">
                  <c:v>Medak</c:v>
                </c:pt>
                <c:pt idx="4">
                  <c:v>Yadadri</c:v>
                </c:pt>
                <c:pt idx="5">
                  <c:v>Sangareddy</c:v>
                </c:pt>
                <c:pt idx="6">
                  <c:v>Siddipet</c:v>
                </c:pt>
                <c:pt idx="7">
                  <c:v>Vikarabad</c:v>
                </c:pt>
              </c:strCache>
            </c:strRef>
          </c:cat>
          <c:val>
            <c:numRef>
              <c:f>'[1]Participation Data'!$B$18:$B$25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0.97674418604651159</c:v>
                </c:pt>
                <c:pt idx="5">
                  <c:v>0.97126436781609193</c:v>
                </c:pt>
                <c:pt idx="6">
                  <c:v>0.84883720930232553</c:v>
                </c:pt>
                <c:pt idx="7">
                  <c:v>0.78678797468354422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Participation!$B$3:$B$10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98%</c:v>
                  </c:pt>
                  <c:pt idx="5">
                    <c:v>97%</c:v>
                  </c:pt>
                  <c:pt idx="6">
                    <c:v>85%</c:v>
                  </c:pt>
                  <c:pt idx="7">
                    <c:v>79%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D08-4996-A982-5E1EB021C4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1437104"/>
        <c:axId val="371438544"/>
      </c:barChart>
      <c:catAx>
        <c:axId val="3714371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Districts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38544"/>
        <c:crosses val="autoZero"/>
        <c:auto val="1"/>
        <c:lblAlgn val="ctr"/>
        <c:lblOffset val="100"/>
        <c:noMultiLvlLbl val="0"/>
      </c:catAx>
      <c:valAx>
        <c:axId val="3714385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Participation 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3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'[1]Participation Data'!$B$31</c:f>
              <c:strCache>
                <c:ptCount val="1"/>
                <c:pt idx="0">
                  <c:v>Sum of performance %</c:v>
                </c:pt>
              </c:strCache>
            </c:strRef>
          </c:tx>
          <c:spPr>
            <a:solidFill>
              <a:srgbClr val="34736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4A48278-66E6-449F-95A0-A27A00900FC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AEC-4C71-948F-F945F57567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02CCEB-24F1-47BE-BAE5-7F8B1DAB1F7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AEC-4C71-948F-F945F57567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F81E160-9AD6-4880-B21E-85B1B539C42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AEC-4C71-948F-F945F575673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C35DC18-83DE-47CA-B72C-1C91C95A170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AEC-4C71-948F-F945F57567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8CC97B9-CA7A-431C-945E-3CD90263066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AEC-4C71-948F-F945F575673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E824583-1E13-4B70-BDF2-A4E19C89777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AEC-4C71-948F-F945F575673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E98A718-F40B-4BCB-A8FD-946888599AB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EC-4C71-948F-F945F575673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4E53DEA-4BEA-4D28-A7EA-F5823648615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AEC-4C71-948F-F945F575673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0E2B20D-D20A-4B96-93A5-F7D10F0CB37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AEC-4C71-948F-F945F575673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61F13E4-A09E-4230-AE14-4F84A69C770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AEC-4C71-948F-F945F575673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65B5164-44BC-4857-8AED-3EB93D901AD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AEC-4C71-948F-F945F57567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'[1]Participation Data'!$A$32:$A$42</c:f>
              <c:strCache>
                <c:ptCount val="11"/>
                <c:pt idx="0">
                  <c:v>TGR inst. B Bellampalli</c:v>
                </c:pt>
                <c:pt idx="1">
                  <c:v>TGR inst. B Peddapur Camp</c:v>
                </c:pt>
                <c:pt idx="2">
                  <c:v>TGR inst. B Toopran</c:v>
                </c:pt>
                <c:pt idx="3">
                  <c:v>TGR inst. B Velair</c:v>
                </c:pt>
                <c:pt idx="4">
                  <c:v>TGR inst. G Digwal</c:v>
                </c:pt>
                <c:pt idx="5">
                  <c:v>TGR inst. G Vangara</c:v>
                </c:pt>
                <c:pt idx="6">
                  <c:v>TGR inst. G Choutuppal</c:v>
                </c:pt>
                <c:pt idx="7">
                  <c:v>TGR inst. B Lingampally</c:v>
                </c:pt>
                <c:pt idx="8">
                  <c:v>TGR inst. G Tandur</c:v>
                </c:pt>
                <c:pt idx="9">
                  <c:v>TGR inst. G Siddipet</c:v>
                </c:pt>
                <c:pt idx="10">
                  <c:v>TGR inst. G Vikarabad</c:v>
                </c:pt>
              </c:strCache>
            </c:strRef>
          </c:cat>
          <c:val>
            <c:numRef>
              <c:f>'[1]Participation Data'!$B$32:$B$42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0.97674418604651159</c:v>
                </c:pt>
                <c:pt idx="7">
                  <c:v>0.94252873563218387</c:v>
                </c:pt>
                <c:pt idx="8">
                  <c:v>0.88607594936708856</c:v>
                </c:pt>
                <c:pt idx="9">
                  <c:v>0.84883720930232553</c:v>
                </c:pt>
                <c:pt idx="10">
                  <c:v>0.6875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Participation!$B$17:$B$27</c15:f>
                <c15:dlblRangeCache>
                  <c:ptCount val="11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98%</c:v>
                  </c:pt>
                  <c:pt idx="7">
                    <c:v>94%</c:v>
                  </c:pt>
                  <c:pt idx="8">
                    <c:v>89%</c:v>
                  </c:pt>
                  <c:pt idx="9">
                    <c:v>85%</c:v>
                  </c:pt>
                  <c:pt idx="10">
                    <c:v>69%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529-4D1D-9133-EAB1DA945E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1473104"/>
        <c:axId val="371473584"/>
      </c:barChart>
      <c:catAx>
        <c:axId val="3714731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Schools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73584"/>
        <c:crosses val="autoZero"/>
        <c:auto val="1"/>
        <c:lblAlgn val="ctr"/>
        <c:lblOffset val="100"/>
        <c:noMultiLvlLbl val="0"/>
      </c:catAx>
      <c:valAx>
        <c:axId val="371473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Participation 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7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Participation!$A$33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DD7-456F-B45D-1BE110C76530}"/>
              </c:ext>
            </c:extLst>
          </c:dPt>
          <c:dPt>
            <c:idx val="1"/>
            <c:bubble3D val="0"/>
            <c:spPr>
              <a:solidFill>
                <a:srgbClr val="34736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D7-456F-B45D-1BE110C76530}"/>
              </c:ext>
            </c:extLst>
          </c:dPt>
          <c:dLbls>
            <c:dLbl>
              <c:idx val="0"/>
              <c:layout>
                <c:manualLayout>
                  <c:x val="-0.375"/>
                  <c:y val="2.635046113306982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D7-456F-B45D-1BE110C76530}"/>
                </c:ext>
              </c:extLst>
            </c:dLbl>
            <c:dLbl>
              <c:idx val="1"/>
              <c:layout>
                <c:manualLayout>
                  <c:x val="0.39444444444444454"/>
                  <c:y val="-4.39174352217830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D7-456F-B45D-1BE110C7653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Participation!$B$32:$C$32</c:f>
              <c:strCache>
                <c:ptCount val="2"/>
                <c:pt idx="0">
                  <c:v>Not participated</c:v>
                </c:pt>
                <c:pt idx="1">
                  <c:v>participated</c:v>
                </c:pt>
              </c:strCache>
            </c:strRef>
          </c:cat>
          <c:val>
            <c:numRef>
              <c:f>Participation!$B$33:$C$33</c:f>
              <c:numCache>
                <c:formatCode>General</c:formatCode>
                <c:ptCount val="2"/>
                <c:pt idx="0">
                  <c:v>54</c:v>
                </c:pt>
                <c:pt idx="1">
                  <c:v>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7-456F-B45D-1BE110C76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860783027121609"/>
          <c:y val="7.4652230971128566E-2"/>
          <c:w val="0.27222856517935257"/>
          <c:h val="0.1059033245844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Participation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Participation!$B$2</c:f>
              <c:strCache>
                <c:ptCount val="1"/>
                <c:pt idx="0">
                  <c:v>Average of Participation %</c:v>
                </c:pt>
              </c:strCache>
            </c:strRef>
          </c:tx>
          <c:spPr>
            <a:solidFill>
              <a:srgbClr val="34736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Participation!$A$3:$A$10</c:f>
              <c:strCache>
                <c:ptCount val="8"/>
                <c:pt idx="0">
                  <c:v>HanamKonda</c:v>
                </c:pt>
                <c:pt idx="1">
                  <c:v>Jagtial</c:v>
                </c:pt>
                <c:pt idx="2">
                  <c:v>Mancherial</c:v>
                </c:pt>
                <c:pt idx="3">
                  <c:v>Medak</c:v>
                </c:pt>
                <c:pt idx="4">
                  <c:v>Yadadri</c:v>
                </c:pt>
                <c:pt idx="5">
                  <c:v>Sangareddy</c:v>
                </c:pt>
                <c:pt idx="6">
                  <c:v>Siddipet</c:v>
                </c:pt>
                <c:pt idx="7">
                  <c:v>Vikarabad</c:v>
                </c:pt>
              </c:strCache>
            </c:strRef>
          </c:cat>
          <c:val>
            <c:numRef>
              <c:f>Participation!$B$3:$B$10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0.97674418604651159</c:v>
                </c:pt>
                <c:pt idx="5">
                  <c:v>0.97126436781609193</c:v>
                </c:pt>
                <c:pt idx="6">
                  <c:v>0.84883720930232553</c:v>
                </c:pt>
                <c:pt idx="7">
                  <c:v>0.78678797468354422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0-447A-9324-17CB1173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646735"/>
        <c:axId val="803647215"/>
      </c:barChart>
      <c:catAx>
        <c:axId val="8036467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47215"/>
        <c:crosses val="autoZero"/>
        <c:auto val="1"/>
        <c:lblAlgn val="ctr"/>
        <c:lblOffset val="100"/>
        <c:noMultiLvlLbl val="0"/>
      </c:catAx>
      <c:valAx>
        <c:axId val="803647215"/>
        <c:scaling>
          <c:orientation val="minMax"/>
          <c:max val="1.100000000000000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4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Participation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Participation!$B$16</c:f>
              <c:strCache>
                <c:ptCount val="1"/>
                <c:pt idx="0">
                  <c:v>Sum of performance %</c:v>
                </c:pt>
              </c:strCache>
            </c:strRef>
          </c:tx>
          <c:spPr>
            <a:solidFill>
              <a:srgbClr val="34736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Participation!$A$17:$A$27</c:f>
              <c:strCache>
                <c:ptCount val="11"/>
                <c:pt idx="0">
                  <c:v>TGR inst. B Bellampalli</c:v>
                </c:pt>
                <c:pt idx="1">
                  <c:v>TGR inst. B Peddapur Camp</c:v>
                </c:pt>
                <c:pt idx="2">
                  <c:v>TGR inst. B Toopran</c:v>
                </c:pt>
                <c:pt idx="3">
                  <c:v>TGR inst. B Velair</c:v>
                </c:pt>
                <c:pt idx="4">
                  <c:v>TGR inst. G Digwal</c:v>
                </c:pt>
                <c:pt idx="5">
                  <c:v>TGR inst. G Vangara</c:v>
                </c:pt>
                <c:pt idx="6">
                  <c:v>TGR inst. G Choutuppal</c:v>
                </c:pt>
                <c:pt idx="7">
                  <c:v>TGR inst. B Lingampally</c:v>
                </c:pt>
                <c:pt idx="8">
                  <c:v>TGR inst. G Tandur</c:v>
                </c:pt>
                <c:pt idx="9">
                  <c:v>TGR inst. G Siddipet</c:v>
                </c:pt>
                <c:pt idx="10">
                  <c:v>TGR inst. G Vikarabad</c:v>
                </c:pt>
              </c:strCache>
            </c:strRef>
          </c:cat>
          <c:val>
            <c:numRef>
              <c:f>Participation!$B$17:$B$27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0.97674418604651159</c:v>
                </c:pt>
                <c:pt idx="7">
                  <c:v>0.94252873563218387</c:v>
                </c:pt>
                <c:pt idx="8">
                  <c:v>0.88607594936708856</c:v>
                </c:pt>
                <c:pt idx="9">
                  <c:v>0.84883720930232553</c:v>
                </c:pt>
                <c:pt idx="10">
                  <c:v>0.6875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7-4D39-84A8-5F22DAB4A5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3676975"/>
        <c:axId val="803681295"/>
      </c:barChart>
      <c:catAx>
        <c:axId val="803676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81295"/>
        <c:crosses val="autoZero"/>
        <c:auto val="1"/>
        <c:lblAlgn val="ctr"/>
        <c:lblOffset val="100"/>
        <c:noMultiLvlLbl val="0"/>
      </c:catAx>
      <c:valAx>
        <c:axId val="803681295"/>
        <c:scaling>
          <c:orientation val="minMax"/>
          <c:max val="1.100000000000000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7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Grade-7 Average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grade_7_sub_wise_avg_perf!$B$1</c:f>
              <c:strCache>
                <c:ptCount val="1"/>
                <c:pt idx="0">
                  <c:v>Average Performance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grade_7_sub_wise_avg_perf!$A$2:$A$4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grade_7_sub_wise_avg_perf!$B$2:$B$4</c:f>
              <c:numCache>
                <c:formatCode>General</c:formatCode>
                <c:ptCount val="3"/>
                <c:pt idx="0">
                  <c:v>50</c:v>
                </c:pt>
                <c:pt idx="1">
                  <c:v>62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3-4F7B-8A71-86A4F5ECDB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139167"/>
        <c:axId val="152140607"/>
      </c:barChart>
      <c:catAx>
        <c:axId val="152139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0607"/>
        <c:crosses val="autoZero"/>
        <c:auto val="1"/>
        <c:lblAlgn val="ctr"/>
        <c:lblOffset val="100"/>
        <c:noMultiLvlLbl val="0"/>
      </c:catAx>
      <c:valAx>
        <c:axId val="1521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(%)</a:t>
                </a:r>
                <a:endParaRPr lang="en-IN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3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English Learning outcome wise</a:t>
            </a:r>
            <a:r>
              <a:rPr lang="en-US" baseline="0"/>
              <a:t> </a:t>
            </a:r>
            <a:r>
              <a:rPr lang="en-US"/>
              <a:t>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grade_7_english_lo!$C$1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grade_7_english_lo!$B$2:$B$14</c:f>
              <c:strCache>
                <c:ptCount val="13"/>
                <c:pt idx="0">
                  <c:v>Inference</c:v>
                </c:pt>
                <c:pt idx="1">
                  <c:v>Comparison</c:v>
                </c:pt>
                <c:pt idx="2">
                  <c:v>Summarization</c:v>
                </c:pt>
                <c:pt idx="3">
                  <c:v>Preposition</c:v>
                </c:pt>
                <c:pt idx="4">
                  <c:v>Synonym</c:v>
                </c:pt>
                <c:pt idx="5">
                  <c:v>Literal Comprehension</c:v>
                </c:pt>
                <c:pt idx="6">
                  <c:v>Text Structure</c:v>
                </c:pt>
                <c:pt idx="7">
                  <c:v>Detail Retrieval</c:v>
                </c:pt>
                <c:pt idx="8">
                  <c:v>Vocabulary</c:v>
                </c:pt>
                <c:pt idx="9">
                  <c:v>Prediction</c:v>
                </c:pt>
                <c:pt idx="10">
                  <c:v>Verb</c:v>
                </c:pt>
                <c:pt idx="11">
                  <c:v>Punctuation</c:v>
                </c:pt>
                <c:pt idx="12">
                  <c:v>Article</c:v>
                </c:pt>
              </c:strCache>
            </c:strRef>
          </c:cat>
          <c:val>
            <c:numRef>
              <c:f>grade_7_english_lo!$C$2:$C$14</c:f>
              <c:numCache>
                <c:formatCode>General</c:formatCode>
                <c:ptCount val="13"/>
                <c:pt idx="0">
                  <c:v>83</c:v>
                </c:pt>
                <c:pt idx="1">
                  <c:v>71</c:v>
                </c:pt>
                <c:pt idx="2">
                  <c:v>64</c:v>
                </c:pt>
                <c:pt idx="3">
                  <c:v>57</c:v>
                </c:pt>
                <c:pt idx="4">
                  <c:v>55</c:v>
                </c:pt>
                <c:pt idx="5">
                  <c:v>55</c:v>
                </c:pt>
                <c:pt idx="6">
                  <c:v>48</c:v>
                </c:pt>
                <c:pt idx="7">
                  <c:v>45</c:v>
                </c:pt>
                <c:pt idx="8">
                  <c:v>43</c:v>
                </c:pt>
                <c:pt idx="9">
                  <c:v>43</c:v>
                </c:pt>
                <c:pt idx="10">
                  <c:v>37</c:v>
                </c:pt>
                <c:pt idx="11">
                  <c:v>30</c:v>
                </c:pt>
                <c:pt idx="1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1-42F6-B1AE-73FDA4DC6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95099711"/>
        <c:axId val="295101631"/>
      </c:barChart>
      <c:catAx>
        <c:axId val="29509971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Learning outcomes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01631"/>
        <c:crosses val="autoZero"/>
        <c:auto val="1"/>
        <c:lblAlgn val="ctr"/>
        <c:lblOffset val="100"/>
        <c:noMultiLvlLbl val="0"/>
      </c:catAx>
      <c:valAx>
        <c:axId val="2951016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Performance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9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Maths Learning outcome wise Avg Performance (%)</a:t>
            </a:r>
          </a:p>
        </c:rich>
      </c:tx>
      <c:layout>
        <c:manualLayout>
          <c:xMode val="edge"/>
          <c:yMode val="edge"/>
          <c:x val="9.3284558180227475E-2"/>
          <c:y val="2.7613412228796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grade_7_mathematics_lo!$C$1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grade_7_mathematics_lo!$B$2:$B$13</c:f>
              <c:strCache>
                <c:ptCount val="12"/>
                <c:pt idx="0">
                  <c:v>Mode</c:v>
                </c:pt>
                <c:pt idx="1">
                  <c:v>Equation Formation</c:v>
                </c:pt>
                <c:pt idx="2">
                  <c:v>Triangle Types</c:v>
                </c:pt>
                <c:pt idx="3">
                  <c:v>Rational Number Operations</c:v>
                </c:pt>
                <c:pt idx="4">
                  <c:v>Integer Properties</c:v>
                </c:pt>
                <c:pt idx="5">
                  <c:v>Line Pairs</c:v>
                </c:pt>
                <c:pt idx="6">
                  <c:v>Decimal Division</c:v>
                </c:pt>
                <c:pt idx="7">
                  <c:v>Parallel Lines</c:v>
                </c:pt>
                <c:pt idx="8">
                  <c:v>Pie Chart</c:v>
                </c:pt>
                <c:pt idx="9">
                  <c:v>Equation Applications</c:v>
                </c:pt>
                <c:pt idx="10">
                  <c:v>Percentages</c:v>
                </c:pt>
                <c:pt idx="11">
                  <c:v>Triangle Inequality</c:v>
                </c:pt>
              </c:strCache>
            </c:strRef>
          </c:cat>
          <c:val>
            <c:numRef>
              <c:f>grade_7_mathematics_lo!$C$2:$C$13</c:f>
              <c:numCache>
                <c:formatCode>General</c:formatCode>
                <c:ptCount val="12"/>
                <c:pt idx="0">
                  <c:v>87</c:v>
                </c:pt>
                <c:pt idx="1">
                  <c:v>74</c:v>
                </c:pt>
                <c:pt idx="2">
                  <c:v>72</c:v>
                </c:pt>
                <c:pt idx="3">
                  <c:v>69</c:v>
                </c:pt>
                <c:pt idx="4">
                  <c:v>67</c:v>
                </c:pt>
                <c:pt idx="5">
                  <c:v>66</c:v>
                </c:pt>
                <c:pt idx="6">
                  <c:v>65</c:v>
                </c:pt>
                <c:pt idx="7">
                  <c:v>61</c:v>
                </c:pt>
                <c:pt idx="8">
                  <c:v>59</c:v>
                </c:pt>
                <c:pt idx="9">
                  <c:v>51</c:v>
                </c:pt>
                <c:pt idx="10">
                  <c:v>49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3-4718-8AB3-C6D9479B50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95120831"/>
        <c:axId val="295130911"/>
      </c:barChart>
      <c:catAx>
        <c:axId val="29512083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Learning outcomes</a:t>
                </a: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30911"/>
        <c:crosses val="autoZero"/>
        <c:auto val="1"/>
        <c:lblAlgn val="ctr"/>
        <c:lblOffset val="100"/>
        <c:noMultiLvlLbl val="0"/>
      </c:catAx>
      <c:valAx>
        <c:axId val="2951309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2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Science Learning outcome wise 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grade_7_science_lo!$C$1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grade_7_science_lo!$B$2:$B$16</c:f>
              <c:strCache>
                <c:ptCount val="15"/>
                <c:pt idx="0">
                  <c:v>Nutrients Function</c:v>
                </c:pt>
                <c:pt idx="1">
                  <c:v>Speed Measurement</c:v>
                </c:pt>
                <c:pt idx="2">
                  <c:v>Temperature Measurement</c:v>
                </c:pt>
                <c:pt idx="3">
                  <c:v>Photosynthesis</c:v>
                </c:pt>
                <c:pt idx="4">
                  <c:v>Acids and Bases</c:v>
                </c:pt>
                <c:pt idx="5">
                  <c:v>Heat and Temperature</c:v>
                </c:pt>
                <c:pt idx="6">
                  <c:v>Silk</c:v>
                </c:pt>
                <c:pt idx="7">
                  <c:v>Climate and Adaptation</c:v>
                </c:pt>
                <c:pt idx="8">
                  <c:v>Seed Dispersal</c:v>
                </c:pt>
                <c:pt idx="9">
                  <c:v>Reproduction Modes</c:v>
                </c:pt>
                <c:pt idx="10">
                  <c:v>Climate</c:v>
                </c:pt>
                <c:pt idx="11">
                  <c:v>Respiration</c:v>
                </c:pt>
                <c:pt idx="12">
                  <c:v>Wind Currents</c:v>
                </c:pt>
                <c:pt idx="13">
                  <c:v>Heating Effect of Current</c:v>
                </c:pt>
                <c:pt idx="14">
                  <c:v>Light Reflection</c:v>
                </c:pt>
              </c:strCache>
            </c:strRef>
          </c:cat>
          <c:val>
            <c:numRef>
              <c:f>grade_7_science_lo!$C$2:$C$16</c:f>
              <c:numCache>
                <c:formatCode>General</c:formatCode>
                <c:ptCount val="15"/>
                <c:pt idx="0">
                  <c:v>85</c:v>
                </c:pt>
                <c:pt idx="1">
                  <c:v>79</c:v>
                </c:pt>
                <c:pt idx="2">
                  <c:v>72</c:v>
                </c:pt>
                <c:pt idx="3">
                  <c:v>71</c:v>
                </c:pt>
                <c:pt idx="4">
                  <c:v>69</c:v>
                </c:pt>
                <c:pt idx="5">
                  <c:v>66</c:v>
                </c:pt>
                <c:pt idx="6">
                  <c:v>64</c:v>
                </c:pt>
                <c:pt idx="7">
                  <c:v>61</c:v>
                </c:pt>
                <c:pt idx="8">
                  <c:v>60</c:v>
                </c:pt>
                <c:pt idx="9">
                  <c:v>59</c:v>
                </c:pt>
                <c:pt idx="10">
                  <c:v>57</c:v>
                </c:pt>
                <c:pt idx="11">
                  <c:v>57</c:v>
                </c:pt>
                <c:pt idx="12">
                  <c:v>55</c:v>
                </c:pt>
                <c:pt idx="13">
                  <c:v>52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4-4056-B273-8155B843EC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4056127"/>
        <c:axId val="354056607"/>
      </c:barChart>
      <c:catAx>
        <c:axId val="35405612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Learning outcomes</a:t>
                </a: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56607"/>
        <c:crosses val="autoZero"/>
        <c:auto val="1"/>
        <c:lblAlgn val="ctr"/>
        <c:lblOffset val="100"/>
        <c:noMultiLvlLbl val="0"/>
      </c:catAx>
      <c:valAx>
        <c:axId val="3540566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5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English Difficulty Level wise 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grade_7_english_qlvl!$B$1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59-4E0B-AF97-AE9FED8E6163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59-4E0B-AF97-AE9FED8E6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grade_7_english_qlvl!$A$2:$A$4</c:f>
              <c:strCache>
                <c:ptCount val="3"/>
                <c:pt idx="0">
                  <c:v>Low (Content)</c:v>
                </c:pt>
                <c:pt idx="1">
                  <c:v>Medium (Concept)</c:v>
                </c:pt>
                <c:pt idx="2">
                  <c:v>High (Challenge)</c:v>
                </c:pt>
              </c:strCache>
            </c:strRef>
          </c:cat>
          <c:val>
            <c:numRef>
              <c:f>grade_7_english_qlvl!$B$2:$B$4</c:f>
              <c:numCache>
                <c:formatCode>General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9-4E0B-AF97-AE9FED8E61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497231"/>
        <c:axId val="372500111"/>
      </c:barChart>
      <c:catAx>
        <c:axId val="37249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Difficulty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00111"/>
        <c:crosses val="autoZero"/>
        <c:auto val="1"/>
        <c:lblAlgn val="ctr"/>
        <c:lblOffset val="100"/>
        <c:noMultiLvlLbl val="0"/>
      </c:catAx>
      <c:valAx>
        <c:axId val="3725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(%)</a:t>
                </a:r>
                <a:endParaRPr lang="en-IN" sz="1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9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Maths Difficulty Level wise 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grade_7_mathematics_qlvl!$B$1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3C-47EF-A7FA-298F25105E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3C-47EF-A7FA-298F25105E0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3C-47EF-A7FA-298F25105E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grade_7_mathematics_qlvl!$A$2:$A$4</c:f>
              <c:strCache>
                <c:ptCount val="3"/>
                <c:pt idx="0">
                  <c:v>Low (Content)</c:v>
                </c:pt>
                <c:pt idx="1">
                  <c:v>Medium (Concept)</c:v>
                </c:pt>
                <c:pt idx="2">
                  <c:v>High (Challenge)</c:v>
                </c:pt>
              </c:strCache>
            </c:strRef>
          </c:cat>
          <c:val>
            <c:numRef>
              <c:f>grade_7_mathematics_qlvl!$B$2:$B$4</c:f>
              <c:numCache>
                <c:formatCode>General</c:formatCode>
                <c:ptCount val="3"/>
                <c:pt idx="0">
                  <c:v>73</c:v>
                </c:pt>
                <c:pt idx="1">
                  <c:v>54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C-47EF-A7FA-298F25105E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9676015"/>
        <c:axId val="359676495"/>
      </c:barChart>
      <c:catAx>
        <c:axId val="35967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Difficulty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6495"/>
        <c:crosses val="autoZero"/>
        <c:auto val="1"/>
        <c:lblAlgn val="ctr"/>
        <c:lblOffset val="100"/>
        <c:noMultiLvlLbl val="0"/>
      </c:catAx>
      <c:valAx>
        <c:axId val="35967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(%)</a:t>
                </a:r>
                <a:endParaRPr lang="en-IN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Science Difficulty Level wise Avg Performance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grade_7_science_qlvl!$B$1</c:f>
              <c:strCache>
                <c:ptCount val="1"/>
                <c:pt idx="0">
                  <c:v>Avg Performance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16-454A-9004-5A4CC4FD43B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216-454A-9004-5A4CC4FD43B7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16-454A-9004-5A4CC4FD43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grade_7_science_qlvl!$A$2:$A$4</c:f>
              <c:strCache>
                <c:ptCount val="3"/>
                <c:pt idx="0">
                  <c:v>Low (Content)</c:v>
                </c:pt>
                <c:pt idx="1">
                  <c:v>Medium (Concept)</c:v>
                </c:pt>
                <c:pt idx="2">
                  <c:v>High (Challenge)</c:v>
                </c:pt>
              </c:strCache>
            </c:strRef>
          </c:cat>
          <c:val>
            <c:numRef>
              <c:f>grade_7_science_qlvl!$B$2:$B$4</c:f>
              <c:numCache>
                <c:formatCode>General</c:formatCode>
                <c:ptCount val="3"/>
                <c:pt idx="0">
                  <c:v>73</c:v>
                </c:pt>
                <c:pt idx="1">
                  <c:v>60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6-454A-9004-5A4CC4FD43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1465215"/>
        <c:axId val="371462815"/>
      </c:barChart>
      <c:catAx>
        <c:axId val="37146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Difficulty</a:t>
                </a: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62815"/>
        <c:crosses val="autoZero"/>
        <c:auto val="1"/>
        <c:lblAlgn val="ctr"/>
        <c:lblOffset val="100"/>
        <c:noMultiLvlLbl val="0"/>
      </c:catAx>
      <c:valAx>
        <c:axId val="37146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Performance (%)</a:t>
                </a:r>
                <a:endParaRPr lang="en-IN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6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grade_7_english_school_subject_!$C$1</c:f>
              <c:strCache>
                <c:ptCount val="1"/>
                <c:pt idx="0">
                  <c:v>mean_English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grade_7_english_school_subject_!$A$2:$B$12</c:f>
              <c:multiLvlStrCache>
                <c:ptCount val="11"/>
                <c:lvl>
                  <c:pt idx="0">
                    <c:v>TGR Institution Girls  Vangara</c:v>
                  </c:pt>
                  <c:pt idx="1">
                    <c:v>TGR Institution boys Velair</c:v>
                  </c:pt>
                  <c:pt idx="2">
                    <c:v>TGR Institution Boys Peddapur Camp</c:v>
                  </c:pt>
                  <c:pt idx="3">
                    <c:v>TGR Institution Boys  Bellampalli</c:v>
                  </c:pt>
                  <c:pt idx="4">
                    <c:v>TGR Institution  Boys Toopran</c:v>
                  </c:pt>
                  <c:pt idx="5">
                    <c:v>TGR Institution Boys  Lingampally</c:v>
                  </c:pt>
                  <c:pt idx="6">
                    <c:v>TGR Institution Girls  Digwal</c:v>
                  </c:pt>
                  <c:pt idx="7">
                    <c:v>TGR Institution Girls Siddipet</c:v>
                  </c:pt>
                  <c:pt idx="8">
                    <c:v>TGR Institution Girls  Tandur</c:v>
                  </c:pt>
                  <c:pt idx="9">
                    <c:v>TGR Institution Girls  Vikarabad</c:v>
                  </c:pt>
                  <c:pt idx="10">
                    <c:v>TGR Institution  Girls 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grade_7_english_school_subject_!$C$2:$C$12</c:f>
              <c:numCache>
                <c:formatCode>0</c:formatCode>
                <c:ptCount val="11"/>
                <c:pt idx="0">
                  <c:v>48.424999999999997</c:v>
                </c:pt>
                <c:pt idx="1">
                  <c:v>52.349397590361448</c:v>
                </c:pt>
                <c:pt idx="2">
                  <c:v>35.186666666666667</c:v>
                </c:pt>
                <c:pt idx="3">
                  <c:v>63</c:v>
                </c:pt>
                <c:pt idx="4">
                  <c:v>80.289156626506028</c:v>
                </c:pt>
                <c:pt idx="5">
                  <c:v>45.804878048780488</c:v>
                </c:pt>
                <c:pt idx="6">
                  <c:v>39.011764705882356</c:v>
                </c:pt>
                <c:pt idx="7">
                  <c:v>39.205479452054803</c:v>
                </c:pt>
                <c:pt idx="8">
                  <c:v>38.228571428571428</c:v>
                </c:pt>
                <c:pt idx="9">
                  <c:v>40.436363636363637</c:v>
                </c:pt>
                <c:pt idx="10">
                  <c:v>59.238095238095241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9-4D1B-A6F8-9E4C870539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5125151"/>
        <c:axId val="295133791"/>
      </c:barChart>
      <c:catAx>
        <c:axId val="2951251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33791"/>
        <c:crosses val="autoZero"/>
        <c:auto val="1"/>
        <c:lblAlgn val="ctr"/>
        <c:lblOffset val="100"/>
        <c:noMultiLvlLbl val="0"/>
      </c:catAx>
      <c:valAx>
        <c:axId val="29513379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Performance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grade_7_english_school_subject_!$F$26</c:f>
              <c:strCache>
                <c:ptCount val="1"/>
                <c:pt idx="0">
                  <c:v>English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grade_7_english_school_subject_!$C$27:$D$37</c:f>
              <c:multiLvlStrCache>
                <c:ptCount val="11"/>
                <c:lvl>
                  <c:pt idx="0">
                    <c:v>TGR inst. G Vangara</c:v>
                  </c:pt>
                  <c:pt idx="1">
                    <c:v>TGR inst. B Velair</c:v>
                  </c:pt>
                  <c:pt idx="2">
                    <c:v>TGR inst. B Peddapur Camp</c:v>
                  </c:pt>
                  <c:pt idx="3">
                    <c:v>TGR inst. B Bellampalli</c:v>
                  </c:pt>
                  <c:pt idx="4">
                    <c:v>TGR inst. B Toopran</c:v>
                  </c:pt>
                  <c:pt idx="5">
                    <c:v>TGR inst. B Lingampally</c:v>
                  </c:pt>
                  <c:pt idx="6">
                    <c:v>TGR inst. G Digwal</c:v>
                  </c:pt>
                  <c:pt idx="7">
                    <c:v>TGR inst. G Siddipet</c:v>
                  </c:pt>
                  <c:pt idx="8">
                    <c:v>TGR inst. G Tandur</c:v>
                  </c:pt>
                  <c:pt idx="9">
                    <c:v>TGR inst. G Vikarabad</c:v>
                  </c:pt>
                  <c:pt idx="10">
                    <c:v>TGR inst. G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grade_7_english_school_subject_!$F$27:$F$37</c:f>
              <c:numCache>
                <c:formatCode>0</c:formatCode>
                <c:ptCount val="11"/>
                <c:pt idx="0">
                  <c:v>48.424999999999997</c:v>
                </c:pt>
                <c:pt idx="1">
                  <c:v>52.349397590361448</c:v>
                </c:pt>
                <c:pt idx="2">
                  <c:v>35.186666666666667</c:v>
                </c:pt>
                <c:pt idx="3">
                  <c:v>63</c:v>
                </c:pt>
                <c:pt idx="4">
                  <c:v>80.289156626506028</c:v>
                </c:pt>
                <c:pt idx="5">
                  <c:v>45.804878048780488</c:v>
                </c:pt>
                <c:pt idx="6">
                  <c:v>39.011764705882356</c:v>
                </c:pt>
                <c:pt idx="7">
                  <c:v>39.205479452054803</c:v>
                </c:pt>
                <c:pt idx="8">
                  <c:v>38.228571428571428</c:v>
                </c:pt>
                <c:pt idx="9">
                  <c:v>40.436363636363637</c:v>
                </c:pt>
                <c:pt idx="10">
                  <c:v>59.238095238095241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5-471E-B47C-1F9B9E2ABA30}"/>
            </c:ext>
          </c:extLst>
        </c:ser>
        <c:ser>
          <c:idx val="1"/>
          <c:order val="1"/>
          <c:tx>
            <c:strRef>
              <c:f>grade_7_english_school_subject_!$G$26</c:f>
              <c:strCache>
                <c:ptCount val="1"/>
                <c:pt idx="0">
                  <c:v>Mathematics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grade_7_english_school_subject_!$C$27:$D$37</c:f>
              <c:multiLvlStrCache>
                <c:ptCount val="11"/>
                <c:lvl>
                  <c:pt idx="0">
                    <c:v>TGR inst. G Vangara</c:v>
                  </c:pt>
                  <c:pt idx="1">
                    <c:v>TGR inst. B Velair</c:v>
                  </c:pt>
                  <c:pt idx="2">
                    <c:v>TGR inst. B Peddapur Camp</c:v>
                  </c:pt>
                  <c:pt idx="3">
                    <c:v>TGR inst. B Bellampalli</c:v>
                  </c:pt>
                  <c:pt idx="4">
                    <c:v>TGR inst. B Toopran</c:v>
                  </c:pt>
                  <c:pt idx="5">
                    <c:v>TGR inst. B Lingampally</c:v>
                  </c:pt>
                  <c:pt idx="6">
                    <c:v>TGR inst. G Digwal</c:v>
                  </c:pt>
                  <c:pt idx="7">
                    <c:v>TGR inst. G Siddipet</c:v>
                  </c:pt>
                  <c:pt idx="8">
                    <c:v>TGR inst. G Tandur</c:v>
                  </c:pt>
                  <c:pt idx="9">
                    <c:v>TGR inst. G Vikarabad</c:v>
                  </c:pt>
                  <c:pt idx="10">
                    <c:v>TGR inst. G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grade_7_english_school_subject_!$G$27:$G$37</c:f>
              <c:numCache>
                <c:formatCode>0</c:formatCode>
                <c:ptCount val="11"/>
                <c:pt idx="0">
                  <c:v>57.9</c:v>
                </c:pt>
                <c:pt idx="1">
                  <c:v>82.879518072289159</c:v>
                </c:pt>
                <c:pt idx="2">
                  <c:v>32.266666666666673</c:v>
                </c:pt>
                <c:pt idx="3">
                  <c:v>86.678571428571431</c:v>
                </c:pt>
                <c:pt idx="4">
                  <c:v>87.614457831325296</c:v>
                </c:pt>
                <c:pt idx="5">
                  <c:v>72.341463414634148</c:v>
                </c:pt>
                <c:pt idx="6">
                  <c:v>38.341176470588238</c:v>
                </c:pt>
                <c:pt idx="7">
                  <c:v>60.150684931506852</c:v>
                </c:pt>
                <c:pt idx="8">
                  <c:v>53.7</c:v>
                </c:pt>
                <c:pt idx="9">
                  <c:v>36.345454545454537</c:v>
                </c:pt>
                <c:pt idx="10">
                  <c:v>60.797619047619051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65-471E-B47C-1F9B9E2ABA30}"/>
            </c:ext>
          </c:extLst>
        </c:ser>
        <c:ser>
          <c:idx val="2"/>
          <c:order val="2"/>
          <c:tx>
            <c:strRef>
              <c:f>grade_7_english_school_subject_!$H$26</c:f>
              <c:strCache>
                <c:ptCount val="1"/>
                <c:pt idx="0">
                  <c:v>Science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grade_7_english_school_subject_!$C$27:$D$37</c:f>
              <c:multiLvlStrCache>
                <c:ptCount val="11"/>
                <c:lvl>
                  <c:pt idx="0">
                    <c:v>TGR inst. G Vangara</c:v>
                  </c:pt>
                  <c:pt idx="1">
                    <c:v>TGR inst. B Velair</c:v>
                  </c:pt>
                  <c:pt idx="2">
                    <c:v>TGR inst. B Peddapur Camp</c:v>
                  </c:pt>
                  <c:pt idx="3">
                    <c:v>TGR inst. B Bellampalli</c:v>
                  </c:pt>
                  <c:pt idx="4">
                    <c:v>TGR inst. B Toopran</c:v>
                  </c:pt>
                  <c:pt idx="5">
                    <c:v>TGR inst. B Lingampally</c:v>
                  </c:pt>
                  <c:pt idx="6">
                    <c:v>TGR inst. G Digwal</c:v>
                  </c:pt>
                  <c:pt idx="7">
                    <c:v>TGR inst. G Siddipet</c:v>
                  </c:pt>
                  <c:pt idx="8">
                    <c:v>TGR inst. G Tandur</c:v>
                  </c:pt>
                  <c:pt idx="9">
                    <c:v>TGR inst. G Vikarabad</c:v>
                  </c:pt>
                  <c:pt idx="10">
                    <c:v>TGR inst. G Choutuppal</c:v>
                  </c:pt>
                </c:lvl>
                <c:lvl>
                  <c:pt idx="0">
                    <c:v>HanamKonda</c:v>
                  </c:pt>
                  <c:pt idx="1">
                    <c:v>HanamKonda</c:v>
                  </c:pt>
                  <c:pt idx="2">
                    <c:v>Jagtial</c:v>
                  </c:pt>
                  <c:pt idx="3">
                    <c:v>Mancherial</c:v>
                  </c:pt>
                  <c:pt idx="4">
                    <c:v>Medak</c:v>
                  </c:pt>
                  <c:pt idx="5">
                    <c:v>Sangareddy</c:v>
                  </c:pt>
                  <c:pt idx="6">
                    <c:v>Sangareddy</c:v>
                  </c:pt>
                  <c:pt idx="7">
                    <c:v>Siddipet</c:v>
                  </c:pt>
                  <c:pt idx="8">
                    <c:v>Vikarabad</c:v>
                  </c:pt>
                  <c:pt idx="9">
                    <c:v>Vikarabad</c:v>
                  </c:pt>
                  <c:pt idx="10">
                    <c:v>Yadadri</c:v>
                  </c:pt>
                </c:lvl>
              </c:multiLvlStrCache>
            </c:multiLvlStrRef>
          </c:cat>
          <c:val>
            <c:numRef>
              <c:f>grade_7_english_school_subject_!$H$27:$H$37</c:f>
              <c:numCache>
                <c:formatCode>0</c:formatCode>
                <c:ptCount val="11"/>
                <c:pt idx="0">
                  <c:v>69.587500000000006</c:v>
                </c:pt>
                <c:pt idx="1">
                  <c:v>75.891566265060234</c:v>
                </c:pt>
                <c:pt idx="2">
                  <c:v>46.853333333333332</c:v>
                </c:pt>
                <c:pt idx="3">
                  <c:v>91.333333333333329</c:v>
                </c:pt>
                <c:pt idx="4">
                  <c:v>88.493975903614455</c:v>
                </c:pt>
                <c:pt idx="5">
                  <c:v>73.963414634146346</c:v>
                </c:pt>
                <c:pt idx="6">
                  <c:v>50.435294117647061</c:v>
                </c:pt>
                <c:pt idx="7">
                  <c:v>37.739726027397261</c:v>
                </c:pt>
                <c:pt idx="8">
                  <c:v>40.614285714285707</c:v>
                </c:pt>
                <c:pt idx="9">
                  <c:v>38.072727272727271</c:v>
                </c:pt>
                <c:pt idx="10">
                  <c:v>70.571428571428569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65-471E-B47C-1F9B9E2ABA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097887"/>
        <c:axId val="152105087"/>
      </c:barChart>
      <c:catAx>
        <c:axId val="15209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school/district</a:t>
                </a:r>
              </a:p>
            </c:rich>
          </c:tx>
          <c:layout>
            <c:manualLayout>
              <c:xMode val="edge"/>
              <c:yMode val="edge"/>
              <c:x val="0.48247251600252378"/>
              <c:y val="0.85628361516285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05087"/>
        <c:crosses val="autoZero"/>
        <c:auto val="1"/>
        <c:lblAlgn val="ctr"/>
        <c:lblOffset val="100"/>
        <c:noMultiLvlLbl val="0"/>
      </c:catAx>
      <c:valAx>
        <c:axId val="1521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perf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8AEFB-4FC5-44E3-A0A4-6E62764AA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419100</xdr:colOff>
      <xdr:row>0</xdr:row>
      <xdr:rowOff>0</xdr:rowOff>
    </xdr:from>
    <xdr:to>
      <xdr:col>21</xdr:col>
      <xdr:colOff>411480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9FDD81-B439-4834-B126-F3B11D7FA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38100</xdr:colOff>
      <xdr:row>40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614F90-E8C9-49FF-9E00-C53E37C2F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129540</xdr:colOff>
      <xdr:row>23</xdr:row>
      <xdr:rowOff>0</xdr:rowOff>
    </xdr:from>
    <xdr:to>
      <xdr:col>16</xdr:col>
      <xdr:colOff>411480</xdr:colOff>
      <xdr:row>40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FB63C6-930A-4200-A3CC-1EBB6196F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26894</xdr:colOff>
      <xdr:row>23</xdr:row>
      <xdr:rowOff>0</xdr:rowOff>
    </xdr:from>
    <xdr:to>
      <xdr:col>25</xdr:col>
      <xdr:colOff>369794</xdr:colOff>
      <xdr:row>40</xdr:row>
      <xdr:rowOff>113628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3569C3-0CF3-4454-8336-A9EC69572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7</xdr:col>
      <xdr:colOff>304800</xdr:colOff>
      <xdr:row>58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095B25-732C-4D43-BBD9-6278CA67D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43</xdr:row>
      <xdr:rowOff>0</xdr:rowOff>
    </xdr:from>
    <xdr:to>
      <xdr:col>15</xdr:col>
      <xdr:colOff>304800</xdr:colOff>
      <xdr:row>58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DBE3AD-797C-408C-9070-567B881A6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23</xdr:col>
      <xdr:colOff>304800</xdr:colOff>
      <xdr:row>58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B901EA-E19E-4F27-90EF-0C755359C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600635</xdr:colOff>
      <xdr:row>0</xdr:row>
      <xdr:rowOff>80682</xdr:rowOff>
    </xdr:from>
    <xdr:to>
      <xdr:col>36</xdr:col>
      <xdr:colOff>593015</xdr:colOff>
      <xdr:row>21</xdr:row>
      <xdr:rowOff>34066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CC6EC4-A4EF-42D1-93B2-94FB21E76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0</xdr:row>
      <xdr:rowOff>68580</xdr:rowOff>
    </xdr:from>
    <xdr:to>
      <xdr:col>19</xdr:col>
      <xdr:colOff>327660</xdr:colOff>
      <xdr:row>13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88747-5405-4C3F-9727-3D6218E25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137160</xdr:colOff>
      <xdr:row>15</xdr:row>
      <xdr:rowOff>22860</xdr:rowOff>
    </xdr:from>
    <xdr:to>
      <xdr:col>20</xdr:col>
      <xdr:colOff>441960</xdr:colOff>
      <xdr:row>30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1E8803-25F5-4C4B-BC78-C8ECF1A57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510540</xdr:colOff>
      <xdr:row>30</xdr:row>
      <xdr:rowOff>175260</xdr:rowOff>
    </xdr:from>
    <xdr:to>
      <xdr:col>15</xdr:col>
      <xdr:colOff>205740</xdr:colOff>
      <xdr:row>46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1CBFEB-A56F-FAF2-59D6-361D6E051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502920</xdr:colOff>
      <xdr:row>0</xdr:row>
      <xdr:rowOff>49530</xdr:rowOff>
    </xdr:from>
    <xdr:to>
      <xdr:col>11</xdr:col>
      <xdr:colOff>198120</xdr:colOff>
      <xdr:row>15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0B6B13-348D-D828-ED31-A7660F3D1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457200</xdr:colOff>
      <xdr:row>15</xdr:row>
      <xdr:rowOff>171450</xdr:rowOff>
    </xdr:from>
    <xdr:to>
      <xdr:col>11</xdr:col>
      <xdr:colOff>152400</xdr:colOff>
      <xdr:row>30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C9B113-150B-0C82-452B-398CCD4EA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1</xdr:row>
      <xdr:rowOff>125730</xdr:rowOff>
    </xdr:from>
    <xdr:to>
      <xdr:col>11</xdr:col>
      <xdr:colOff>175260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D8672-8E49-3A85-837D-3FEB021E7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1</xdr:row>
      <xdr:rowOff>144780</xdr:rowOff>
    </xdr:from>
    <xdr:to>
      <xdr:col>12</xdr:col>
      <xdr:colOff>289560</xdr:colOff>
      <xdr:row>11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BDD7A-DCCE-D9A6-5B44-7761CA144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1</xdr:row>
      <xdr:rowOff>156210</xdr:rowOff>
    </xdr:from>
    <xdr:to>
      <xdr:col>13</xdr:col>
      <xdr:colOff>144780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DCA5B3-7347-3D65-3528-621975AAB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6</xdr:row>
      <xdr:rowOff>106680</xdr:rowOff>
    </xdr:from>
    <xdr:to>
      <xdr:col>11</xdr:col>
      <xdr:colOff>327660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9FD65-F290-1F95-6922-22E04D9E0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7</xdr:row>
      <xdr:rowOff>34290</xdr:rowOff>
    </xdr:from>
    <xdr:to>
      <xdr:col>6</xdr:col>
      <xdr:colOff>7620</xdr:colOff>
      <xdr:row>22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4B260-9063-23D5-F5A5-41D6A8906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556260</xdr:colOff>
      <xdr:row>4</xdr:row>
      <xdr:rowOff>148590</xdr:rowOff>
    </xdr:from>
    <xdr:to>
      <xdr:col>8</xdr:col>
      <xdr:colOff>251460</xdr:colOff>
      <xdr:row>19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7463E-78B4-4D10-BABB-2D880F5EA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5</xdr:row>
      <xdr:rowOff>110490</xdr:rowOff>
    </xdr:from>
    <xdr:to>
      <xdr:col>7</xdr:col>
      <xdr:colOff>518160</xdr:colOff>
      <xdr:row>20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0D4B0-C378-0B39-2632-9E7803555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0</xdr:row>
      <xdr:rowOff>72390</xdr:rowOff>
    </xdr:from>
    <xdr:to>
      <xdr:col>19</xdr:col>
      <xdr:colOff>563880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96A31-351C-5860-2637-C445C8248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144780</xdr:colOff>
      <xdr:row>17</xdr:row>
      <xdr:rowOff>99060</xdr:rowOff>
    </xdr:from>
    <xdr:to>
      <xdr:col>22</xdr:col>
      <xdr:colOff>137160</xdr:colOff>
      <xdr:row>37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1D69ED-F836-10E6-2C83-B119AF95A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avi%20Indu\Downloads\tgr_participation.xlsx" TargetMode="External"/><Relationship Id="rId1" Type="http://schemas.openxmlformats.org/officeDocument/2006/relationships/externalLinkPath" Target="file:///C:\Users\Raavi%20Indu\Downloads\tgr_particip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icipation Data"/>
    </sheetNames>
    <sheetDataSet>
      <sheetData sheetId="0">
        <row r="17">
          <cell r="B17" t="str">
            <v>Average of performance %</v>
          </cell>
        </row>
        <row r="18">
          <cell r="A18" t="str">
            <v>HanamKonda</v>
          </cell>
          <cell r="B18">
            <v>1</v>
          </cell>
        </row>
        <row r="19">
          <cell r="A19" t="str">
            <v>Jagtial</v>
          </cell>
          <cell r="B19">
            <v>1</v>
          </cell>
        </row>
        <row r="20">
          <cell r="A20" t="str">
            <v>Mancherial</v>
          </cell>
          <cell r="B20">
            <v>1</v>
          </cell>
        </row>
        <row r="21">
          <cell r="A21" t="str">
            <v>Medak</v>
          </cell>
          <cell r="B21">
            <v>1</v>
          </cell>
        </row>
        <row r="22">
          <cell r="A22" t="str">
            <v>Yadadri</v>
          </cell>
          <cell r="B22">
            <v>0.97674418604651159</v>
          </cell>
        </row>
        <row r="23">
          <cell r="A23" t="str">
            <v>Sangareddy</v>
          </cell>
          <cell r="B23">
            <v>0.97126436781609193</v>
          </cell>
        </row>
        <row r="24">
          <cell r="A24" t="str">
            <v>Siddipet</v>
          </cell>
          <cell r="B24">
            <v>0.84883720930232553</v>
          </cell>
        </row>
        <row r="25">
          <cell r="A25" t="str">
            <v>Vikarabad</v>
          </cell>
          <cell r="B25">
            <v>0.78678797468354422</v>
          </cell>
        </row>
        <row r="31">
          <cell r="B31" t="str">
            <v>Sum of performance %</v>
          </cell>
        </row>
        <row r="32">
          <cell r="A32" t="str">
            <v>TGR inst. B Bellampalli</v>
          </cell>
          <cell r="B32">
            <v>1</v>
          </cell>
        </row>
        <row r="33">
          <cell r="A33" t="str">
            <v>TGR inst. B Peddapur Camp</v>
          </cell>
          <cell r="B33">
            <v>1</v>
          </cell>
        </row>
        <row r="34">
          <cell r="A34" t="str">
            <v>TGR inst. B Toopran</v>
          </cell>
          <cell r="B34">
            <v>1</v>
          </cell>
        </row>
        <row r="35">
          <cell r="A35" t="str">
            <v>TGR inst. B Velair</v>
          </cell>
          <cell r="B35">
            <v>1</v>
          </cell>
        </row>
        <row r="36">
          <cell r="A36" t="str">
            <v>TGR inst. G Digwal</v>
          </cell>
          <cell r="B36">
            <v>1</v>
          </cell>
        </row>
        <row r="37">
          <cell r="A37" t="str">
            <v>TGR inst. G Vangara</v>
          </cell>
          <cell r="B37">
            <v>1</v>
          </cell>
        </row>
        <row r="38">
          <cell r="A38" t="str">
            <v>TGR inst. G Choutuppal</v>
          </cell>
          <cell r="B38">
            <v>0.97674418604651159</v>
          </cell>
        </row>
        <row r="39">
          <cell r="A39" t="str">
            <v>TGR inst. B Lingampally</v>
          </cell>
          <cell r="B39">
            <v>0.94252873563218387</v>
          </cell>
        </row>
        <row r="40">
          <cell r="A40" t="str">
            <v>TGR inst. G Tandur</v>
          </cell>
          <cell r="B40">
            <v>0.88607594936708856</v>
          </cell>
        </row>
        <row r="41">
          <cell r="A41" t="str">
            <v>TGR inst. G Siddipet</v>
          </cell>
          <cell r="B41">
            <v>0.84883720930232553</v>
          </cell>
        </row>
        <row r="42">
          <cell r="A42" t="str">
            <v>TGR inst. G Vikarabad</v>
          </cell>
          <cell r="B42">
            <v>0.6875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6668-3691-4BC4-B4A6-F924CC8D2701}">
  <dimension ref="A22:AA60"/>
  <sheetViews>
    <sheetView topLeftCell="A31" zoomScale="70" zoomScaleNormal="70" workbookViewId="0">
      <selection activeCell="A42" sqref="A42:AA42"/>
    </sheetView>
  </sheetViews>
  <sheetFormatPr defaultRowHeight="14.4" x14ac:dyDescent="0.3"/>
  <sheetData>
    <row r="22" spans="1:27" ht="21" x14ac:dyDescent="0.4">
      <c r="A22" s="14" t="s">
        <v>142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42" spans="1:27" ht="21" x14ac:dyDescent="0.4">
      <c r="A42" s="14" t="s">
        <v>143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60" spans="1:27" ht="21" x14ac:dyDescent="0.4">
      <c r="A60" s="14" t="s">
        <v>144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</sheetData>
  <mergeCells count="3">
    <mergeCell ref="A22:AA22"/>
    <mergeCell ref="A42:AA42"/>
    <mergeCell ref="A60:AA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07CE-F2FD-4A8D-B31C-7166E614C1CF}">
  <dimension ref="A2:N33"/>
  <sheetViews>
    <sheetView workbookViewId="0">
      <selection activeCell="M2" sqref="M2"/>
    </sheetView>
  </sheetViews>
  <sheetFormatPr defaultRowHeight="14.4" x14ac:dyDescent="0.3"/>
  <cols>
    <col min="1" max="1" width="23.33203125" bestFit="1" customWidth="1"/>
  </cols>
  <sheetData>
    <row r="2" spans="1:14" x14ac:dyDescent="0.3">
      <c r="A2" t="s">
        <v>145</v>
      </c>
      <c r="B2" t="s">
        <v>163</v>
      </c>
    </row>
    <row r="3" spans="1:14" x14ac:dyDescent="0.3">
      <c r="A3" t="s">
        <v>84</v>
      </c>
      <c r="B3" s="6">
        <v>1</v>
      </c>
    </row>
    <row r="4" spans="1:14" x14ac:dyDescent="0.3">
      <c r="A4" t="s">
        <v>87</v>
      </c>
      <c r="B4" s="6">
        <v>1</v>
      </c>
    </row>
    <row r="5" spans="1:14" x14ac:dyDescent="0.3">
      <c r="A5" t="s">
        <v>89</v>
      </c>
      <c r="B5" s="6">
        <v>1</v>
      </c>
    </row>
    <row r="6" spans="1:14" x14ac:dyDescent="0.3">
      <c r="A6" t="s">
        <v>91</v>
      </c>
      <c r="B6" s="6">
        <v>1</v>
      </c>
      <c r="M6" s="9"/>
    </row>
    <row r="7" spans="1:14" x14ac:dyDescent="0.3">
      <c r="A7" t="s">
        <v>101</v>
      </c>
      <c r="B7" s="6">
        <v>0.97674418604651159</v>
      </c>
      <c r="N7" s="10"/>
    </row>
    <row r="8" spans="1:14" x14ac:dyDescent="0.3">
      <c r="A8" t="s">
        <v>93</v>
      </c>
      <c r="B8" s="6">
        <v>0.97126436781609193</v>
      </c>
      <c r="M8" s="8"/>
    </row>
    <row r="9" spans="1:14" x14ac:dyDescent="0.3">
      <c r="A9" t="s">
        <v>96</v>
      </c>
      <c r="B9" s="6">
        <v>0.84883720930232553</v>
      </c>
    </row>
    <row r="10" spans="1:14" x14ac:dyDescent="0.3">
      <c r="A10" t="s">
        <v>98</v>
      </c>
      <c r="B10" s="6">
        <v>0.78678797468354422</v>
      </c>
    </row>
    <row r="11" spans="1:14" x14ac:dyDescent="0.3">
      <c r="N11" s="11"/>
    </row>
    <row r="13" spans="1:14" x14ac:dyDescent="0.3">
      <c r="N13" s="7"/>
    </row>
    <row r="16" spans="1:14" x14ac:dyDescent="0.3">
      <c r="A16" t="s">
        <v>145</v>
      </c>
      <c r="B16" t="s">
        <v>146</v>
      </c>
    </row>
    <row r="17" spans="1:4" x14ac:dyDescent="0.3">
      <c r="A17" t="s">
        <v>147</v>
      </c>
      <c r="B17" s="6">
        <v>1</v>
      </c>
    </row>
    <row r="18" spans="1:4" x14ac:dyDescent="0.3">
      <c r="A18" t="s">
        <v>148</v>
      </c>
      <c r="B18" s="6">
        <v>1</v>
      </c>
    </row>
    <row r="19" spans="1:4" x14ac:dyDescent="0.3">
      <c r="A19" t="s">
        <v>149</v>
      </c>
      <c r="B19" s="6">
        <v>1</v>
      </c>
    </row>
    <row r="20" spans="1:4" x14ac:dyDescent="0.3">
      <c r="A20" t="s">
        <v>150</v>
      </c>
      <c r="B20" s="6">
        <v>1</v>
      </c>
    </row>
    <row r="21" spans="1:4" x14ac:dyDescent="0.3">
      <c r="A21" t="s">
        <v>151</v>
      </c>
      <c r="B21" s="6">
        <v>1</v>
      </c>
    </row>
    <row r="22" spans="1:4" x14ac:dyDescent="0.3">
      <c r="A22" t="s">
        <v>152</v>
      </c>
      <c r="B22" s="6">
        <v>1</v>
      </c>
    </row>
    <row r="23" spans="1:4" x14ac:dyDescent="0.3">
      <c r="A23" t="s">
        <v>153</v>
      </c>
      <c r="B23" s="6">
        <v>0.97674418604651159</v>
      </c>
    </row>
    <row r="24" spans="1:4" x14ac:dyDescent="0.3">
      <c r="A24" t="s">
        <v>154</v>
      </c>
      <c r="B24" s="6">
        <v>0.94252873563218387</v>
      </c>
    </row>
    <row r="25" spans="1:4" x14ac:dyDescent="0.3">
      <c r="A25" t="s">
        <v>155</v>
      </c>
      <c r="B25" s="6">
        <v>0.88607594936708856</v>
      </c>
    </row>
    <row r="26" spans="1:4" x14ac:dyDescent="0.3">
      <c r="A26" t="s">
        <v>156</v>
      </c>
      <c r="B26" s="6">
        <v>0.84883720930232553</v>
      </c>
    </row>
    <row r="27" spans="1:4" x14ac:dyDescent="0.3">
      <c r="A27" t="s">
        <v>157</v>
      </c>
      <c r="B27" s="6">
        <v>0.6875</v>
      </c>
    </row>
    <row r="32" spans="1:4" x14ac:dyDescent="0.3">
      <c r="A32" t="s">
        <v>159</v>
      </c>
      <c r="B32" t="s">
        <v>161</v>
      </c>
      <c r="C32" t="s">
        <v>162</v>
      </c>
      <c r="D32" t="s">
        <v>160</v>
      </c>
    </row>
    <row r="33" spans="1:5" x14ac:dyDescent="0.3">
      <c r="A33" s="12" t="s">
        <v>158</v>
      </c>
      <c r="B33">
        <f>D33-C33</f>
        <v>54</v>
      </c>
      <c r="C33" s="12">
        <v>854</v>
      </c>
      <c r="D33" s="12">
        <v>908</v>
      </c>
      <c r="E33" s="13">
        <f>C33/D33</f>
        <v>0.94052863436123346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N4" sqref="N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62</v>
      </c>
    </row>
    <row r="4" spans="1:2" x14ac:dyDescent="0.3">
      <c r="A4" t="s">
        <v>4</v>
      </c>
      <c r="B4">
        <v>64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I14" sqref="I14"/>
    </sheetView>
  </sheetViews>
  <sheetFormatPr defaultRowHeight="14.4" x14ac:dyDescent="0.3"/>
  <cols>
    <col min="1" max="1" width="53.33203125" style="5" customWidth="1"/>
    <col min="2" max="2" width="21.44140625" customWidth="1"/>
    <col min="3" max="3" width="19" bestFit="1" customWidth="1"/>
    <col min="4" max="4" width="9.33203125" bestFit="1" customWidth="1"/>
  </cols>
  <sheetData>
    <row r="1" spans="1:4" x14ac:dyDescent="0.3">
      <c r="A1" s="4" t="s">
        <v>5</v>
      </c>
      <c r="B1" s="3" t="s">
        <v>129</v>
      </c>
      <c r="C1" s="1" t="s">
        <v>7</v>
      </c>
      <c r="D1" s="1" t="s">
        <v>6</v>
      </c>
    </row>
    <row r="2" spans="1:4" ht="28.8" x14ac:dyDescent="0.3">
      <c r="A2" s="5" t="s">
        <v>8</v>
      </c>
      <c r="B2" t="s">
        <v>110</v>
      </c>
      <c r="C2">
        <v>83</v>
      </c>
      <c r="D2" t="s">
        <v>9</v>
      </c>
    </row>
    <row r="3" spans="1:4" x14ac:dyDescent="0.3">
      <c r="A3" s="5" t="s">
        <v>10</v>
      </c>
      <c r="B3" t="s">
        <v>111</v>
      </c>
      <c r="C3">
        <v>71</v>
      </c>
      <c r="D3" t="s">
        <v>11</v>
      </c>
    </row>
    <row r="4" spans="1:4" ht="28.8" x14ac:dyDescent="0.3">
      <c r="A4" s="5" t="s">
        <v>12</v>
      </c>
      <c r="B4" t="s">
        <v>112</v>
      </c>
      <c r="C4">
        <v>64</v>
      </c>
      <c r="D4" t="s">
        <v>13</v>
      </c>
    </row>
    <row r="5" spans="1:4" x14ac:dyDescent="0.3">
      <c r="A5" s="5" t="s">
        <v>14</v>
      </c>
      <c r="B5" t="s">
        <v>14</v>
      </c>
      <c r="C5">
        <v>57</v>
      </c>
      <c r="D5" t="s">
        <v>15</v>
      </c>
    </row>
    <row r="6" spans="1:4" x14ac:dyDescent="0.3">
      <c r="A6" s="5" t="s">
        <v>16</v>
      </c>
      <c r="B6" t="s">
        <v>16</v>
      </c>
      <c r="C6">
        <v>55</v>
      </c>
      <c r="D6" t="s">
        <v>17</v>
      </c>
    </row>
    <row r="7" spans="1:4" x14ac:dyDescent="0.3">
      <c r="A7" s="5" t="s">
        <v>18</v>
      </c>
      <c r="B7" t="s">
        <v>114</v>
      </c>
      <c r="C7">
        <v>55</v>
      </c>
      <c r="D7" t="s">
        <v>19</v>
      </c>
    </row>
    <row r="8" spans="1:4" ht="43.2" x14ac:dyDescent="0.3">
      <c r="A8" s="5" t="s">
        <v>20</v>
      </c>
      <c r="B8" t="s">
        <v>116</v>
      </c>
      <c r="C8">
        <v>48</v>
      </c>
      <c r="D8" t="s">
        <v>21</v>
      </c>
    </row>
    <row r="9" spans="1:4" ht="28.8" x14ac:dyDescent="0.3">
      <c r="A9" s="5" t="s">
        <v>22</v>
      </c>
      <c r="B9" t="s">
        <v>113</v>
      </c>
      <c r="C9">
        <v>45</v>
      </c>
      <c r="D9" t="s">
        <v>23</v>
      </c>
    </row>
    <row r="10" spans="1:4" ht="28.8" x14ac:dyDescent="0.3">
      <c r="A10" s="5" t="s">
        <v>24</v>
      </c>
      <c r="B10" t="s">
        <v>117</v>
      </c>
      <c r="C10">
        <v>43</v>
      </c>
      <c r="D10" t="s">
        <v>25</v>
      </c>
    </row>
    <row r="11" spans="1:4" ht="28.8" x14ac:dyDescent="0.3">
      <c r="A11" s="5" t="s">
        <v>26</v>
      </c>
      <c r="B11" t="s">
        <v>115</v>
      </c>
      <c r="C11">
        <v>43</v>
      </c>
      <c r="D11" t="s">
        <v>27</v>
      </c>
    </row>
    <row r="12" spans="1:4" x14ac:dyDescent="0.3">
      <c r="A12" s="5" t="s">
        <v>28</v>
      </c>
      <c r="B12" t="s">
        <v>28</v>
      </c>
      <c r="C12">
        <v>37</v>
      </c>
      <c r="D12" t="s">
        <v>29</v>
      </c>
    </row>
    <row r="13" spans="1:4" x14ac:dyDescent="0.3">
      <c r="A13" s="5" t="s">
        <v>30</v>
      </c>
      <c r="B13" t="s">
        <v>30</v>
      </c>
      <c r="C13">
        <v>30</v>
      </c>
      <c r="D13" t="s">
        <v>31</v>
      </c>
    </row>
    <row r="14" spans="1:4" x14ac:dyDescent="0.3">
      <c r="A14" s="5" t="s">
        <v>32</v>
      </c>
      <c r="B14" t="s">
        <v>32</v>
      </c>
      <c r="C14">
        <v>26</v>
      </c>
      <c r="D14" t="s">
        <v>33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B19" sqref="B19"/>
    </sheetView>
  </sheetViews>
  <sheetFormatPr defaultRowHeight="14.4" x14ac:dyDescent="0.3"/>
  <cols>
    <col min="1" max="1" width="46.21875" bestFit="1" customWidth="1"/>
    <col min="2" max="2" width="46.21875" customWidth="1"/>
  </cols>
  <sheetData>
    <row r="1" spans="1:4" x14ac:dyDescent="0.3">
      <c r="A1" s="1" t="s">
        <v>5</v>
      </c>
      <c r="B1" s="3" t="s">
        <v>129</v>
      </c>
      <c r="C1" s="1" t="s">
        <v>7</v>
      </c>
      <c r="D1" s="1" t="s">
        <v>6</v>
      </c>
    </row>
    <row r="2" spans="1:4" x14ac:dyDescent="0.3">
      <c r="A2" t="s">
        <v>34</v>
      </c>
      <c r="B2" t="s">
        <v>34</v>
      </c>
      <c r="C2">
        <v>87</v>
      </c>
      <c r="D2" t="s">
        <v>11</v>
      </c>
    </row>
    <row r="3" spans="1:4" x14ac:dyDescent="0.3">
      <c r="A3" t="s">
        <v>35</v>
      </c>
      <c r="B3" t="s">
        <v>118</v>
      </c>
      <c r="C3">
        <v>74</v>
      </c>
      <c r="D3" t="s">
        <v>17</v>
      </c>
    </row>
    <row r="4" spans="1:4" x14ac:dyDescent="0.3">
      <c r="A4" t="s">
        <v>36</v>
      </c>
      <c r="B4" t="s">
        <v>119</v>
      </c>
      <c r="C4">
        <v>72</v>
      </c>
      <c r="D4" t="s">
        <v>13</v>
      </c>
    </row>
    <row r="5" spans="1:4" x14ac:dyDescent="0.3">
      <c r="A5" t="s">
        <v>37</v>
      </c>
      <c r="B5" t="s">
        <v>120</v>
      </c>
      <c r="C5">
        <v>69</v>
      </c>
      <c r="D5" t="s">
        <v>38</v>
      </c>
    </row>
    <row r="6" spans="1:4" x14ac:dyDescent="0.3">
      <c r="A6" t="s">
        <v>39</v>
      </c>
      <c r="B6" t="s">
        <v>121</v>
      </c>
      <c r="C6">
        <v>67</v>
      </c>
      <c r="D6" t="s">
        <v>9</v>
      </c>
    </row>
    <row r="7" spans="1:4" x14ac:dyDescent="0.3">
      <c r="A7" t="s">
        <v>40</v>
      </c>
      <c r="B7" t="s">
        <v>122</v>
      </c>
      <c r="C7">
        <v>66</v>
      </c>
      <c r="D7" t="s">
        <v>41</v>
      </c>
    </row>
    <row r="8" spans="1:4" x14ac:dyDescent="0.3">
      <c r="A8" t="s">
        <v>42</v>
      </c>
      <c r="B8" t="s">
        <v>123</v>
      </c>
      <c r="C8">
        <v>65</v>
      </c>
      <c r="D8" t="s">
        <v>43</v>
      </c>
    </row>
    <row r="9" spans="1:4" x14ac:dyDescent="0.3">
      <c r="A9" t="s">
        <v>44</v>
      </c>
      <c r="B9" t="s">
        <v>124</v>
      </c>
      <c r="C9">
        <v>61</v>
      </c>
      <c r="D9" t="s">
        <v>31</v>
      </c>
    </row>
    <row r="10" spans="1:4" x14ac:dyDescent="0.3">
      <c r="A10" t="s">
        <v>45</v>
      </c>
      <c r="B10" t="s">
        <v>125</v>
      </c>
      <c r="C10">
        <v>59</v>
      </c>
      <c r="D10" t="s">
        <v>15</v>
      </c>
    </row>
    <row r="11" spans="1:4" x14ac:dyDescent="0.3">
      <c r="A11" t="s">
        <v>46</v>
      </c>
      <c r="B11" t="s">
        <v>126</v>
      </c>
      <c r="C11">
        <v>51</v>
      </c>
      <c r="D11" t="s">
        <v>47</v>
      </c>
    </row>
    <row r="12" spans="1:4" x14ac:dyDescent="0.3">
      <c r="A12" t="s">
        <v>48</v>
      </c>
      <c r="B12" t="s">
        <v>127</v>
      </c>
      <c r="C12">
        <v>49</v>
      </c>
      <c r="D12" t="s">
        <v>49</v>
      </c>
    </row>
    <row r="13" spans="1:4" x14ac:dyDescent="0.3">
      <c r="A13" t="s">
        <v>50</v>
      </c>
      <c r="B13" t="s">
        <v>128</v>
      </c>
      <c r="C13">
        <v>44</v>
      </c>
      <c r="D13" t="s">
        <v>33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F5" sqref="F5"/>
    </sheetView>
  </sheetViews>
  <sheetFormatPr defaultRowHeight="14.4" x14ac:dyDescent="0.3"/>
  <cols>
    <col min="1" max="1" width="56.5546875" bestFit="1" customWidth="1"/>
    <col min="2" max="2" width="56.5546875" customWidth="1"/>
  </cols>
  <sheetData>
    <row r="1" spans="1:4" x14ac:dyDescent="0.3">
      <c r="A1" s="1" t="s">
        <v>5</v>
      </c>
      <c r="B1" s="3" t="s">
        <v>129</v>
      </c>
      <c r="C1" s="1" t="s">
        <v>7</v>
      </c>
      <c r="D1" s="1" t="s">
        <v>6</v>
      </c>
    </row>
    <row r="2" spans="1:4" x14ac:dyDescent="0.3">
      <c r="A2" t="s">
        <v>51</v>
      </c>
      <c r="B2" t="s">
        <v>130</v>
      </c>
      <c r="C2">
        <v>85</v>
      </c>
      <c r="D2" t="s">
        <v>23</v>
      </c>
    </row>
    <row r="3" spans="1:4" x14ac:dyDescent="0.3">
      <c r="A3" t="s">
        <v>52</v>
      </c>
      <c r="B3" t="s">
        <v>131</v>
      </c>
      <c r="C3">
        <v>79</v>
      </c>
      <c r="D3" t="s">
        <v>19</v>
      </c>
    </row>
    <row r="4" spans="1:4" x14ac:dyDescent="0.3">
      <c r="A4" t="s">
        <v>53</v>
      </c>
      <c r="B4" t="s">
        <v>132</v>
      </c>
      <c r="C4">
        <v>72</v>
      </c>
      <c r="D4" t="s">
        <v>43</v>
      </c>
    </row>
    <row r="5" spans="1:4" x14ac:dyDescent="0.3">
      <c r="A5" t="s">
        <v>54</v>
      </c>
      <c r="B5" t="s">
        <v>133</v>
      </c>
      <c r="C5">
        <v>71</v>
      </c>
      <c r="D5" t="s">
        <v>29</v>
      </c>
    </row>
    <row r="6" spans="1:4" x14ac:dyDescent="0.3">
      <c r="A6" t="s">
        <v>55</v>
      </c>
      <c r="B6" t="s">
        <v>134</v>
      </c>
      <c r="C6">
        <v>69</v>
      </c>
      <c r="D6" t="s">
        <v>25</v>
      </c>
    </row>
    <row r="7" spans="1:4" x14ac:dyDescent="0.3">
      <c r="A7" t="s">
        <v>56</v>
      </c>
      <c r="B7" t="s">
        <v>135</v>
      </c>
      <c r="C7">
        <v>66</v>
      </c>
      <c r="D7" t="s">
        <v>47</v>
      </c>
    </row>
    <row r="8" spans="1:4" x14ac:dyDescent="0.3">
      <c r="A8" t="s">
        <v>57</v>
      </c>
      <c r="B8" t="s">
        <v>57</v>
      </c>
      <c r="C8">
        <v>64</v>
      </c>
      <c r="D8" t="s">
        <v>58</v>
      </c>
    </row>
    <row r="9" spans="1:4" x14ac:dyDescent="0.3">
      <c r="A9" t="s">
        <v>59</v>
      </c>
      <c r="B9" t="s">
        <v>136</v>
      </c>
      <c r="C9">
        <v>61</v>
      </c>
      <c r="D9" t="s">
        <v>15</v>
      </c>
    </row>
    <row r="10" spans="1:4" x14ac:dyDescent="0.3">
      <c r="A10" t="s">
        <v>60</v>
      </c>
      <c r="B10" t="s">
        <v>60</v>
      </c>
      <c r="C10">
        <v>60</v>
      </c>
      <c r="D10" t="s">
        <v>31</v>
      </c>
    </row>
    <row r="11" spans="1:4" x14ac:dyDescent="0.3">
      <c r="A11" t="s">
        <v>61</v>
      </c>
      <c r="B11" t="s">
        <v>137</v>
      </c>
      <c r="C11">
        <v>59</v>
      </c>
      <c r="D11" t="s">
        <v>17</v>
      </c>
    </row>
    <row r="12" spans="1:4" x14ac:dyDescent="0.3">
      <c r="A12" t="s">
        <v>62</v>
      </c>
      <c r="B12" t="s">
        <v>62</v>
      </c>
      <c r="C12">
        <v>57</v>
      </c>
      <c r="D12" t="s">
        <v>13</v>
      </c>
    </row>
    <row r="13" spans="1:4" x14ac:dyDescent="0.3">
      <c r="A13" t="s">
        <v>63</v>
      </c>
      <c r="B13" t="s">
        <v>138</v>
      </c>
      <c r="C13">
        <v>57</v>
      </c>
      <c r="D13" t="s">
        <v>33</v>
      </c>
    </row>
    <row r="14" spans="1:4" x14ac:dyDescent="0.3">
      <c r="A14" t="s">
        <v>64</v>
      </c>
      <c r="B14" t="s">
        <v>139</v>
      </c>
      <c r="C14">
        <v>55</v>
      </c>
      <c r="D14" t="s">
        <v>11</v>
      </c>
    </row>
    <row r="15" spans="1:4" x14ac:dyDescent="0.3">
      <c r="A15" t="s">
        <v>65</v>
      </c>
      <c r="B15" t="s">
        <v>140</v>
      </c>
      <c r="C15">
        <v>52</v>
      </c>
      <c r="D15" t="s">
        <v>9</v>
      </c>
    </row>
    <row r="16" spans="1:4" x14ac:dyDescent="0.3">
      <c r="A16" t="s">
        <v>66</v>
      </c>
      <c r="B16" t="s">
        <v>141</v>
      </c>
      <c r="C16">
        <v>48</v>
      </c>
      <c r="D16" t="s">
        <v>41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I20" sqref="I20"/>
    </sheetView>
  </sheetViews>
  <sheetFormatPr defaultRowHeight="14.4" x14ac:dyDescent="0.3"/>
  <cols>
    <col min="1" max="1" width="16.109375" bestFit="1" customWidth="1"/>
    <col min="3" max="3" width="22.33203125" bestFit="1" customWidth="1"/>
  </cols>
  <sheetData>
    <row r="1" spans="1:3" x14ac:dyDescent="0.3">
      <c r="A1" s="1" t="s">
        <v>67</v>
      </c>
      <c r="B1" s="1" t="s">
        <v>7</v>
      </c>
      <c r="C1" s="1" t="s">
        <v>6</v>
      </c>
    </row>
    <row r="2" spans="1:3" x14ac:dyDescent="0.3">
      <c r="A2" t="s">
        <v>70</v>
      </c>
      <c r="B2">
        <v>51</v>
      </c>
      <c r="C2" t="s">
        <v>71</v>
      </c>
    </row>
    <row r="3" spans="1:3" x14ac:dyDescent="0.3">
      <c r="A3" t="s">
        <v>72</v>
      </c>
      <c r="B3">
        <v>49</v>
      </c>
      <c r="C3" t="s">
        <v>73</v>
      </c>
    </row>
    <row r="4" spans="1:3" x14ac:dyDescent="0.3">
      <c r="A4" t="s">
        <v>68</v>
      </c>
      <c r="B4">
        <v>51</v>
      </c>
      <c r="C4" t="s">
        <v>69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K13" sqref="K13"/>
    </sheetView>
  </sheetViews>
  <sheetFormatPr defaultRowHeight="14.4" x14ac:dyDescent="0.3"/>
  <sheetData>
    <row r="1" spans="1:3" x14ac:dyDescent="0.3">
      <c r="A1" s="1" t="s">
        <v>67</v>
      </c>
      <c r="B1" s="1" t="s">
        <v>7</v>
      </c>
      <c r="C1" s="1" t="s">
        <v>6</v>
      </c>
    </row>
    <row r="2" spans="1:3" x14ac:dyDescent="0.3">
      <c r="A2" t="s">
        <v>70</v>
      </c>
      <c r="B2">
        <v>73</v>
      </c>
      <c r="C2" t="s">
        <v>75</v>
      </c>
    </row>
    <row r="3" spans="1:3" x14ac:dyDescent="0.3">
      <c r="A3" t="s">
        <v>72</v>
      </c>
      <c r="B3">
        <v>54</v>
      </c>
      <c r="C3" t="s">
        <v>76</v>
      </c>
    </row>
    <row r="4" spans="1:3" x14ac:dyDescent="0.3">
      <c r="A4" t="s">
        <v>68</v>
      </c>
      <c r="B4">
        <v>66</v>
      </c>
      <c r="C4" t="s">
        <v>74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J9" sqref="J9"/>
    </sheetView>
  </sheetViews>
  <sheetFormatPr defaultRowHeight="14.4" x14ac:dyDescent="0.3"/>
  <sheetData>
    <row r="1" spans="1:3" x14ac:dyDescent="0.3">
      <c r="A1" s="1" t="s">
        <v>67</v>
      </c>
      <c r="B1" s="1" t="s">
        <v>7</v>
      </c>
      <c r="C1" s="1" t="s">
        <v>6</v>
      </c>
    </row>
    <row r="2" spans="1:3" x14ac:dyDescent="0.3">
      <c r="A2" t="s">
        <v>70</v>
      </c>
      <c r="B2">
        <v>73</v>
      </c>
      <c r="C2" t="s">
        <v>78</v>
      </c>
    </row>
    <row r="3" spans="1:3" x14ac:dyDescent="0.3">
      <c r="A3" t="s">
        <v>72</v>
      </c>
      <c r="B3">
        <v>60</v>
      </c>
      <c r="C3" t="s">
        <v>79</v>
      </c>
    </row>
    <row r="4" spans="1:3" x14ac:dyDescent="0.3">
      <c r="A4" t="s">
        <v>68</v>
      </c>
      <c r="B4">
        <v>62</v>
      </c>
      <c r="C4" t="s">
        <v>77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7"/>
  <sheetViews>
    <sheetView topLeftCell="E16" workbookViewId="0">
      <selection activeCell="D36" sqref="D36"/>
    </sheetView>
  </sheetViews>
  <sheetFormatPr defaultRowHeight="14.4" x14ac:dyDescent="0.3"/>
  <cols>
    <col min="1" max="1" width="11.88671875" bestFit="1" customWidth="1"/>
    <col min="2" max="2" width="31.21875" bestFit="1" customWidth="1"/>
    <col min="3" max="3" width="12.6640625" bestFit="1" customWidth="1"/>
    <col min="4" max="4" width="31.21875" bestFit="1" customWidth="1"/>
    <col min="5" max="5" width="31.21875" customWidth="1"/>
    <col min="6" max="6" width="12.6640625" bestFit="1" customWidth="1"/>
    <col min="7" max="7" width="18" bestFit="1" customWidth="1"/>
    <col min="8" max="8" width="13.21875" bestFit="1" customWidth="1"/>
  </cols>
  <sheetData>
    <row r="1" spans="1:10" x14ac:dyDescent="0.3">
      <c r="A1" s="1" t="s">
        <v>80</v>
      </c>
      <c r="B1" s="1" t="s">
        <v>81</v>
      </c>
      <c r="C1" s="1" t="s">
        <v>82</v>
      </c>
      <c r="D1" s="1" t="s">
        <v>83</v>
      </c>
      <c r="E1" s="1"/>
      <c r="F1" s="1"/>
      <c r="G1" s="1"/>
      <c r="H1" s="1"/>
      <c r="I1" s="1"/>
      <c r="J1" s="1"/>
    </row>
    <row r="2" spans="1:10" x14ac:dyDescent="0.3">
      <c r="A2" t="s">
        <v>84</v>
      </c>
      <c r="B2" t="s">
        <v>85</v>
      </c>
      <c r="C2" s="2">
        <v>48.424999999999997</v>
      </c>
      <c r="D2">
        <v>80</v>
      </c>
    </row>
    <row r="3" spans="1:10" x14ac:dyDescent="0.3">
      <c r="A3" t="s">
        <v>84</v>
      </c>
      <c r="B3" t="s">
        <v>86</v>
      </c>
      <c r="C3" s="2">
        <v>52.349397590361448</v>
      </c>
      <c r="D3">
        <v>83</v>
      </c>
    </row>
    <row r="4" spans="1:10" x14ac:dyDescent="0.3">
      <c r="A4" t="s">
        <v>87</v>
      </c>
      <c r="B4" t="s">
        <v>88</v>
      </c>
      <c r="C4" s="2">
        <v>35.186666666666667</v>
      </c>
      <c r="D4">
        <v>75</v>
      </c>
    </row>
    <row r="5" spans="1:10" x14ac:dyDescent="0.3">
      <c r="A5" t="s">
        <v>89</v>
      </c>
      <c r="B5" t="s">
        <v>90</v>
      </c>
      <c r="C5" s="2">
        <v>63</v>
      </c>
      <c r="D5">
        <v>84</v>
      </c>
    </row>
    <row r="6" spans="1:10" x14ac:dyDescent="0.3">
      <c r="A6" t="s">
        <v>91</v>
      </c>
      <c r="B6" t="s">
        <v>92</v>
      </c>
      <c r="C6" s="2">
        <v>80.289156626506028</v>
      </c>
      <c r="D6">
        <v>83</v>
      </c>
    </row>
    <row r="7" spans="1:10" x14ac:dyDescent="0.3">
      <c r="A7" t="s">
        <v>93</v>
      </c>
      <c r="B7" t="s">
        <v>94</v>
      </c>
      <c r="C7" s="2">
        <v>45.804878048780488</v>
      </c>
      <c r="D7">
        <v>82</v>
      </c>
    </row>
    <row r="8" spans="1:10" x14ac:dyDescent="0.3">
      <c r="A8" t="s">
        <v>93</v>
      </c>
      <c r="B8" t="s">
        <v>95</v>
      </c>
      <c r="C8" s="2">
        <v>39.011764705882356</v>
      </c>
      <c r="D8">
        <v>85</v>
      </c>
    </row>
    <row r="9" spans="1:10" x14ac:dyDescent="0.3">
      <c r="A9" t="s">
        <v>96</v>
      </c>
      <c r="B9" t="s">
        <v>97</v>
      </c>
      <c r="C9" s="2">
        <v>39.205479452054803</v>
      </c>
      <c r="D9">
        <v>73</v>
      </c>
    </row>
    <row r="10" spans="1:10" x14ac:dyDescent="0.3">
      <c r="A10" t="s">
        <v>98</v>
      </c>
      <c r="B10" t="s">
        <v>99</v>
      </c>
      <c r="C10" s="2">
        <v>38.228571428571428</v>
      </c>
      <c r="D10">
        <v>70</v>
      </c>
    </row>
    <row r="11" spans="1:10" x14ac:dyDescent="0.3">
      <c r="A11" t="s">
        <v>98</v>
      </c>
      <c r="B11" t="s">
        <v>100</v>
      </c>
      <c r="C11" s="2">
        <v>40.436363636363637</v>
      </c>
      <c r="D11">
        <v>55</v>
      </c>
    </row>
    <row r="12" spans="1:10" x14ac:dyDescent="0.3">
      <c r="A12" t="s">
        <v>101</v>
      </c>
      <c r="B12" t="s">
        <v>102</v>
      </c>
      <c r="C12" s="2">
        <v>59.238095238095241</v>
      </c>
      <c r="D12">
        <v>84</v>
      </c>
    </row>
    <row r="13" spans="1:10" x14ac:dyDescent="0.3">
      <c r="C13" s="2"/>
    </row>
    <row r="14" spans="1:10" x14ac:dyDescent="0.3">
      <c r="C14" s="2"/>
    </row>
    <row r="15" spans="1:10" x14ac:dyDescent="0.3">
      <c r="B15" t="s">
        <v>80</v>
      </c>
      <c r="C15" s="2" t="s">
        <v>82</v>
      </c>
      <c r="D15" t="s">
        <v>83</v>
      </c>
    </row>
    <row r="16" spans="1:10" x14ac:dyDescent="0.3">
      <c r="B16" t="s">
        <v>84</v>
      </c>
      <c r="C16" s="2">
        <v>50.423312883435592</v>
      </c>
      <c r="D16">
        <v>163</v>
      </c>
    </row>
    <row r="17" spans="2:8" x14ac:dyDescent="0.3">
      <c r="B17" t="s">
        <v>87</v>
      </c>
      <c r="C17" s="2">
        <v>35.186666666666667</v>
      </c>
      <c r="D17">
        <v>75</v>
      </c>
    </row>
    <row r="18" spans="2:8" x14ac:dyDescent="0.3">
      <c r="B18" t="s">
        <v>89</v>
      </c>
      <c r="C18" s="2">
        <v>63</v>
      </c>
      <c r="D18">
        <v>84</v>
      </c>
    </row>
    <row r="19" spans="2:8" x14ac:dyDescent="0.3">
      <c r="B19" t="s">
        <v>91</v>
      </c>
      <c r="C19" s="2">
        <v>80.289156626506028</v>
      </c>
      <c r="D19">
        <v>83</v>
      </c>
    </row>
    <row r="20" spans="2:8" x14ac:dyDescent="0.3">
      <c r="B20" t="s">
        <v>93</v>
      </c>
      <c r="C20" s="2">
        <v>42.34730538922156</v>
      </c>
      <c r="D20">
        <v>167</v>
      </c>
    </row>
    <row r="21" spans="2:8" x14ac:dyDescent="0.3">
      <c r="B21" t="s">
        <v>96</v>
      </c>
      <c r="C21" s="2">
        <v>39.205479452054803</v>
      </c>
      <c r="D21">
        <v>73</v>
      </c>
    </row>
    <row r="22" spans="2:8" x14ac:dyDescent="0.3">
      <c r="B22" t="s">
        <v>98</v>
      </c>
      <c r="C22" s="2">
        <v>39.200000000000003</v>
      </c>
      <c r="D22">
        <v>125</v>
      </c>
    </row>
    <row r="23" spans="2:8" x14ac:dyDescent="0.3">
      <c r="B23" t="s">
        <v>101</v>
      </c>
      <c r="C23" s="2">
        <v>59.238095238095241</v>
      </c>
      <c r="D23">
        <v>84</v>
      </c>
    </row>
    <row r="26" spans="2:8" x14ac:dyDescent="0.3">
      <c r="C26" s="1" t="s">
        <v>80</v>
      </c>
      <c r="D26" s="1" t="s">
        <v>81</v>
      </c>
      <c r="E26" s="1"/>
      <c r="F26" s="3" t="s">
        <v>107</v>
      </c>
      <c r="G26" s="3" t="s">
        <v>108</v>
      </c>
      <c r="H26" s="3" t="s">
        <v>109</v>
      </c>
    </row>
    <row r="27" spans="2:8" x14ac:dyDescent="0.3">
      <c r="C27" t="s">
        <v>84</v>
      </c>
      <c r="D27" t="s">
        <v>152</v>
      </c>
      <c r="E27" t="s">
        <v>147</v>
      </c>
      <c r="F27" s="2">
        <v>48.424999999999997</v>
      </c>
      <c r="G27" s="2">
        <v>57.9</v>
      </c>
      <c r="H27" s="2">
        <v>69.587500000000006</v>
      </c>
    </row>
    <row r="28" spans="2:8" x14ac:dyDescent="0.3">
      <c r="C28" t="s">
        <v>84</v>
      </c>
      <c r="D28" t="s">
        <v>150</v>
      </c>
      <c r="E28" t="s">
        <v>148</v>
      </c>
      <c r="F28" s="2">
        <v>52.349397590361448</v>
      </c>
      <c r="G28" s="2">
        <v>82.879518072289159</v>
      </c>
      <c r="H28" s="2">
        <v>75.891566265060234</v>
      </c>
    </row>
    <row r="29" spans="2:8" x14ac:dyDescent="0.3">
      <c r="C29" t="s">
        <v>87</v>
      </c>
      <c r="D29" t="s">
        <v>148</v>
      </c>
      <c r="E29" t="s">
        <v>149</v>
      </c>
      <c r="F29" s="2">
        <v>35.186666666666667</v>
      </c>
      <c r="G29" s="2">
        <v>32.266666666666673</v>
      </c>
      <c r="H29" s="2">
        <v>46.853333333333332</v>
      </c>
    </row>
    <row r="30" spans="2:8" x14ac:dyDescent="0.3">
      <c r="C30" t="s">
        <v>89</v>
      </c>
      <c r="D30" t="s">
        <v>147</v>
      </c>
      <c r="E30" t="s">
        <v>150</v>
      </c>
      <c r="F30" s="2">
        <v>63</v>
      </c>
      <c r="G30" s="2">
        <v>86.678571428571431</v>
      </c>
      <c r="H30" s="2">
        <v>91.333333333333329</v>
      </c>
    </row>
    <row r="31" spans="2:8" x14ac:dyDescent="0.3">
      <c r="C31" t="s">
        <v>91</v>
      </c>
      <c r="D31" t="s">
        <v>149</v>
      </c>
      <c r="E31" t="s">
        <v>151</v>
      </c>
      <c r="F31" s="2">
        <v>80.289156626506028</v>
      </c>
      <c r="G31" s="2">
        <v>87.614457831325296</v>
      </c>
      <c r="H31" s="2">
        <v>88.493975903614455</v>
      </c>
    </row>
    <row r="32" spans="2:8" x14ac:dyDescent="0.3">
      <c r="C32" t="s">
        <v>93</v>
      </c>
      <c r="D32" t="s">
        <v>154</v>
      </c>
      <c r="E32" t="s">
        <v>152</v>
      </c>
      <c r="F32" s="2">
        <v>45.804878048780488</v>
      </c>
      <c r="G32" s="2">
        <v>72.341463414634148</v>
      </c>
      <c r="H32" s="2">
        <v>73.963414634146346</v>
      </c>
    </row>
    <row r="33" spans="3:8" x14ac:dyDescent="0.3">
      <c r="C33" t="s">
        <v>93</v>
      </c>
      <c r="D33" t="s">
        <v>151</v>
      </c>
      <c r="E33" t="s">
        <v>153</v>
      </c>
      <c r="F33" s="2">
        <v>39.011764705882356</v>
      </c>
      <c r="G33" s="2">
        <v>38.341176470588238</v>
      </c>
      <c r="H33" s="2">
        <v>50.435294117647061</v>
      </c>
    </row>
    <row r="34" spans="3:8" x14ac:dyDescent="0.3">
      <c r="C34" t="s">
        <v>96</v>
      </c>
      <c r="D34" t="s">
        <v>156</v>
      </c>
      <c r="E34" t="s">
        <v>154</v>
      </c>
      <c r="F34" s="2">
        <v>39.205479452054803</v>
      </c>
      <c r="G34" s="2">
        <v>60.150684931506852</v>
      </c>
      <c r="H34" s="2">
        <v>37.739726027397261</v>
      </c>
    </row>
    <row r="35" spans="3:8" x14ac:dyDescent="0.3">
      <c r="C35" t="s">
        <v>98</v>
      </c>
      <c r="D35" t="s">
        <v>155</v>
      </c>
      <c r="E35" t="s">
        <v>155</v>
      </c>
      <c r="F35" s="2">
        <v>38.228571428571428</v>
      </c>
      <c r="G35" s="2">
        <v>53.7</v>
      </c>
      <c r="H35" s="2">
        <v>40.614285714285707</v>
      </c>
    </row>
    <row r="36" spans="3:8" x14ac:dyDescent="0.3">
      <c r="C36" t="s">
        <v>98</v>
      </c>
      <c r="D36" t="s">
        <v>157</v>
      </c>
      <c r="E36" t="s">
        <v>156</v>
      </c>
      <c r="F36" s="2">
        <v>40.436363636363637</v>
      </c>
      <c r="G36" s="2">
        <v>36.345454545454537</v>
      </c>
      <c r="H36" s="2">
        <v>38.072727272727271</v>
      </c>
    </row>
    <row r="37" spans="3:8" x14ac:dyDescent="0.3">
      <c r="C37" t="s">
        <v>101</v>
      </c>
      <c r="D37" t="s">
        <v>153</v>
      </c>
      <c r="E37" t="s">
        <v>157</v>
      </c>
      <c r="F37" s="2">
        <v>59.238095238095241</v>
      </c>
      <c r="G37" s="2">
        <v>60.797619047619051</v>
      </c>
      <c r="H37" s="2">
        <v>70.571428571428569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>
      <selection activeCell="C1" sqref="C1:C12"/>
    </sheetView>
  </sheetViews>
  <sheetFormatPr defaultRowHeight="14.4" x14ac:dyDescent="0.3"/>
  <sheetData>
    <row r="1" spans="1:4" x14ac:dyDescent="0.3">
      <c r="A1" s="1" t="s">
        <v>80</v>
      </c>
      <c r="B1" s="1" t="s">
        <v>81</v>
      </c>
      <c r="C1" s="1" t="s">
        <v>103</v>
      </c>
      <c r="D1" s="1" t="s">
        <v>104</v>
      </c>
    </row>
    <row r="2" spans="1:4" x14ac:dyDescent="0.3">
      <c r="A2" t="s">
        <v>84</v>
      </c>
      <c r="B2" t="s">
        <v>85</v>
      </c>
      <c r="C2">
        <v>57.9</v>
      </c>
      <c r="D2">
        <v>80</v>
      </c>
    </row>
    <row r="3" spans="1:4" x14ac:dyDescent="0.3">
      <c r="A3" t="s">
        <v>84</v>
      </c>
      <c r="B3" t="s">
        <v>86</v>
      </c>
      <c r="C3">
        <v>82.879518072289159</v>
      </c>
      <c r="D3">
        <v>83</v>
      </c>
    </row>
    <row r="4" spans="1:4" x14ac:dyDescent="0.3">
      <c r="A4" t="s">
        <v>87</v>
      </c>
      <c r="B4" t="s">
        <v>88</v>
      </c>
      <c r="C4">
        <v>32.266666666666673</v>
      </c>
      <c r="D4">
        <v>75</v>
      </c>
    </row>
    <row r="5" spans="1:4" x14ac:dyDescent="0.3">
      <c r="A5" t="s">
        <v>89</v>
      </c>
      <c r="B5" t="s">
        <v>90</v>
      </c>
      <c r="C5">
        <v>86.678571428571431</v>
      </c>
      <c r="D5">
        <v>84</v>
      </c>
    </row>
    <row r="6" spans="1:4" x14ac:dyDescent="0.3">
      <c r="A6" t="s">
        <v>91</v>
      </c>
      <c r="B6" t="s">
        <v>92</v>
      </c>
      <c r="C6">
        <v>87.614457831325296</v>
      </c>
      <c r="D6">
        <v>83</v>
      </c>
    </row>
    <row r="7" spans="1:4" x14ac:dyDescent="0.3">
      <c r="A7" t="s">
        <v>93</v>
      </c>
      <c r="B7" t="s">
        <v>94</v>
      </c>
      <c r="C7">
        <v>72.341463414634148</v>
      </c>
      <c r="D7">
        <v>82</v>
      </c>
    </row>
    <row r="8" spans="1:4" x14ac:dyDescent="0.3">
      <c r="A8" t="s">
        <v>93</v>
      </c>
      <c r="B8" t="s">
        <v>95</v>
      </c>
      <c r="C8">
        <v>38.341176470588238</v>
      </c>
      <c r="D8">
        <v>85</v>
      </c>
    </row>
    <row r="9" spans="1:4" x14ac:dyDescent="0.3">
      <c r="A9" t="s">
        <v>96</v>
      </c>
      <c r="B9" t="s">
        <v>97</v>
      </c>
      <c r="C9">
        <v>60.150684931506852</v>
      </c>
      <c r="D9">
        <v>73</v>
      </c>
    </row>
    <row r="10" spans="1:4" x14ac:dyDescent="0.3">
      <c r="A10" t="s">
        <v>98</v>
      </c>
      <c r="B10" t="s">
        <v>99</v>
      </c>
      <c r="C10">
        <v>53.7</v>
      </c>
      <c r="D10">
        <v>70</v>
      </c>
    </row>
    <row r="11" spans="1:4" x14ac:dyDescent="0.3">
      <c r="A11" t="s">
        <v>98</v>
      </c>
      <c r="B11" t="s">
        <v>100</v>
      </c>
      <c r="C11">
        <v>36.345454545454537</v>
      </c>
      <c r="D11">
        <v>55</v>
      </c>
    </row>
    <row r="12" spans="1:4" x14ac:dyDescent="0.3">
      <c r="A12" t="s">
        <v>101</v>
      </c>
      <c r="B12" t="s">
        <v>102</v>
      </c>
      <c r="C12">
        <v>60.797619047619051</v>
      </c>
      <c r="D12">
        <v>84</v>
      </c>
    </row>
    <row r="15" spans="1:4" x14ac:dyDescent="0.3">
      <c r="A15" t="s">
        <v>80</v>
      </c>
      <c r="B15" t="s">
        <v>103</v>
      </c>
      <c r="C15" t="s">
        <v>104</v>
      </c>
    </row>
    <row r="16" spans="1:4" x14ac:dyDescent="0.3">
      <c r="A16" t="s">
        <v>84</v>
      </c>
      <c r="B16">
        <v>70.619631901840492</v>
      </c>
      <c r="C16">
        <v>163</v>
      </c>
    </row>
    <row r="17" spans="1:3" x14ac:dyDescent="0.3">
      <c r="A17" t="s">
        <v>87</v>
      </c>
      <c r="B17">
        <v>32.266666666666673</v>
      </c>
      <c r="C17">
        <v>75</v>
      </c>
    </row>
    <row r="18" spans="1:3" x14ac:dyDescent="0.3">
      <c r="A18" t="s">
        <v>89</v>
      </c>
      <c r="B18">
        <v>86.678571428571431</v>
      </c>
      <c r="C18">
        <v>84</v>
      </c>
    </row>
    <row r="19" spans="1:3" x14ac:dyDescent="0.3">
      <c r="A19" t="s">
        <v>91</v>
      </c>
      <c r="B19">
        <v>87.614457831325296</v>
      </c>
      <c r="C19">
        <v>83</v>
      </c>
    </row>
    <row r="20" spans="1:3" x14ac:dyDescent="0.3">
      <c r="A20" t="s">
        <v>93</v>
      </c>
      <c r="B20">
        <v>55.035928143712567</v>
      </c>
      <c r="C20">
        <v>167</v>
      </c>
    </row>
    <row r="21" spans="1:3" x14ac:dyDescent="0.3">
      <c r="A21" t="s">
        <v>96</v>
      </c>
      <c r="B21">
        <v>60.150684931506852</v>
      </c>
      <c r="C21">
        <v>73</v>
      </c>
    </row>
    <row r="22" spans="1:3" x14ac:dyDescent="0.3">
      <c r="A22" t="s">
        <v>98</v>
      </c>
      <c r="B22">
        <v>46.064</v>
      </c>
      <c r="C22">
        <v>125</v>
      </c>
    </row>
    <row r="23" spans="1:3" x14ac:dyDescent="0.3">
      <c r="A23" t="s">
        <v>101</v>
      </c>
      <c r="B23">
        <v>60.797619047619051</v>
      </c>
      <c r="C23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workbookViewId="0">
      <selection activeCell="C1" sqref="C1:C12"/>
    </sheetView>
  </sheetViews>
  <sheetFormatPr defaultRowHeight="14.4" x14ac:dyDescent="0.3"/>
  <sheetData>
    <row r="1" spans="1:4" x14ac:dyDescent="0.3">
      <c r="A1" s="1" t="s">
        <v>80</v>
      </c>
      <c r="B1" s="1" t="s">
        <v>81</v>
      </c>
      <c r="C1" s="1" t="s">
        <v>105</v>
      </c>
      <c r="D1" s="1" t="s">
        <v>106</v>
      </c>
    </row>
    <row r="2" spans="1:4" x14ac:dyDescent="0.3">
      <c r="A2" t="s">
        <v>84</v>
      </c>
      <c r="B2" t="s">
        <v>85</v>
      </c>
      <c r="C2">
        <v>69.587500000000006</v>
      </c>
      <c r="D2">
        <v>80</v>
      </c>
    </row>
    <row r="3" spans="1:4" x14ac:dyDescent="0.3">
      <c r="A3" t="s">
        <v>84</v>
      </c>
      <c r="B3" t="s">
        <v>86</v>
      </c>
      <c r="C3">
        <v>75.891566265060234</v>
      </c>
      <c r="D3">
        <v>83</v>
      </c>
    </row>
    <row r="4" spans="1:4" x14ac:dyDescent="0.3">
      <c r="A4" t="s">
        <v>87</v>
      </c>
      <c r="B4" t="s">
        <v>88</v>
      </c>
      <c r="C4">
        <v>46.853333333333332</v>
      </c>
      <c r="D4">
        <v>75</v>
      </c>
    </row>
    <row r="5" spans="1:4" x14ac:dyDescent="0.3">
      <c r="A5" t="s">
        <v>89</v>
      </c>
      <c r="B5" t="s">
        <v>90</v>
      </c>
      <c r="C5">
        <v>91.333333333333329</v>
      </c>
      <c r="D5">
        <v>84</v>
      </c>
    </row>
    <row r="6" spans="1:4" x14ac:dyDescent="0.3">
      <c r="A6" t="s">
        <v>91</v>
      </c>
      <c r="B6" t="s">
        <v>92</v>
      </c>
      <c r="C6">
        <v>88.493975903614455</v>
      </c>
      <c r="D6">
        <v>83</v>
      </c>
    </row>
    <row r="7" spans="1:4" x14ac:dyDescent="0.3">
      <c r="A7" t="s">
        <v>93</v>
      </c>
      <c r="B7" t="s">
        <v>94</v>
      </c>
      <c r="C7">
        <v>73.963414634146346</v>
      </c>
      <c r="D7">
        <v>82</v>
      </c>
    </row>
    <row r="8" spans="1:4" x14ac:dyDescent="0.3">
      <c r="A8" t="s">
        <v>93</v>
      </c>
      <c r="B8" t="s">
        <v>95</v>
      </c>
      <c r="C8">
        <v>50.435294117647061</v>
      </c>
      <c r="D8">
        <v>85</v>
      </c>
    </row>
    <row r="9" spans="1:4" x14ac:dyDescent="0.3">
      <c r="A9" t="s">
        <v>96</v>
      </c>
      <c r="B9" t="s">
        <v>97</v>
      </c>
      <c r="C9">
        <v>37.739726027397261</v>
      </c>
      <c r="D9">
        <v>73</v>
      </c>
    </row>
    <row r="10" spans="1:4" x14ac:dyDescent="0.3">
      <c r="A10" t="s">
        <v>98</v>
      </c>
      <c r="B10" t="s">
        <v>99</v>
      </c>
      <c r="C10">
        <v>40.614285714285707</v>
      </c>
      <c r="D10">
        <v>70</v>
      </c>
    </row>
    <row r="11" spans="1:4" x14ac:dyDescent="0.3">
      <c r="A11" t="s">
        <v>98</v>
      </c>
      <c r="B11" t="s">
        <v>100</v>
      </c>
      <c r="C11">
        <v>38.072727272727271</v>
      </c>
      <c r="D11">
        <v>55</v>
      </c>
    </row>
    <row r="12" spans="1:4" x14ac:dyDescent="0.3">
      <c r="A12" t="s">
        <v>101</v>
      </c>
      <c r="B12" t="s">
        <v>102</v>
      </c>
      <c r="C12">
        <v>70.571428571428569</v>
      </c>
      <c r="D12">
        <v>84</v>
      </c>
    </row>
    <row r="16" spans="1:4" x14ac:dyDescent="0.3">
      <c r="A16" t="s">
        <v>80</v>
      </c>
      <c r="B16" t="s">
        <v>105</v>
      </c>
      <c r="C16" t="s">
        <v>106</v>
      </c>
    </row>
    <row r="17" spans="1:3" x14ac:dyDescent="0.3">
      <c r="A17" t="s">
        <v>84</v>
      </c>
      <c r="B17">
        <v>72.797546012269933</v>
      </c>
      <c r="C17">
        <v>163</v>
      </c>
    </row>
    <row r="18" spans="1:3" x14ac:dyDescent="0.3">
      <c r="A18" t="s">
        <v>87</v>
      </c>
      <c r="B18">
        <v>46.853333333333332</v>
      </c>
      <c r="C18">
        <v>75</v>
      </c>
    </row>
    <row r="19" spans="1:3" x14ac:dyDescent="0.3">
      <c r="A19" t="s">
        <v>89</v>
      </c>
      <c r="B19">
        <v>91.333333333333329</v>
      </c>
      <c r="C19">
        <v>84</v>
      </c>
    </row>
    <row r="20" spans="1:3" x14ac:dyDescent="0.3">
      <c r="A20" t="s">
        <v>91</v>
      </c>
      <c r="B20">
        <v>88.493975903614455</v>
      </c>
      <c r="C20">
        <v>83</v>
      </c>
    </row>
    <row r="21" spans="1:3" x14ac:dyDescent="0.3">
      <c r="A21" t="s">
        <v>93</v>
      </c>
      <c r="B21">
        <v>61.988023952095809</v>
      </c>
      <c r="C21">
        <v>167</v>
      </c>
    </row>
    <row r="22" spans="1:3" x14ac:dyDescent="0.3">
      <c r="A22" t="s">
        <v>96</v>
      </c>
      <c r="B22">
        <v>37.739726027397261</v>
      </c>
      <c r="C22">
        <v>73</v>
      </c>
    </row>
    <row r="23" spans="1:3" x14ac:dyDescent="0.3">
      <c r="A23" t="s">
        <v>98</v>
      </c>
      <c r="B23">
        <v>39.496000000000002</v>
      </c>
      <c r="C23">
        <v>125</v>
      </c>
    </row>
    <row r="24" spans="1:3" x14ac:dyDescent="0.3">
      <c r="A24" t="s">
        <v>101</v>
      </c>
      <c r="B24">
        <v>70.571428571428569</v>
      </c>
      <c r="C24">
        <v>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F662-26A3-43BF-8CEB-D57E49E10FD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Charts</vt:lpstr>
      <vt:lpstr>Participation</vt:lpstr>
      <vt:lpstr>grade_7_sub_wise_avg_perf</vt:lpstr>
      <vt:lpstr>grade_7_english_lo</vt:lpstr>
      <vt:lpstr>grade_7_mathematics_lo</vt:lpstr>
      <vt:lpstr>grade_7_science_lo</vt:lpstr>
      <vt:lpstr>grade_7_english_qlvl</vt:lpstr>
      <vt:lpstr>grade_7_mathematics_qlvl</vt:lpstr>
      <vt:lpstr>grade_7_science_qlvl</vt:lpstr>
      <vt:lpstr>grade_7_english_school_subject_</vt:lpstr>
      <vt:lpstr>grade_7_mathematic_school_subje</vt:lpstr>
      <vt:lpstr>grade_7_science_school_subject_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2026-02-18T07:55:35Z</dcterms:created>
  <dcterms:modified xsi:type="dcterms:W3CDTF">2026-02-26T04:44:52Z</dcterms:modified>
</cp:coreProperties>
</file>