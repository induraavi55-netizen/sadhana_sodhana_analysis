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"/>
    </mc:Choice>
  </mc:AlternateContent>
  <xr:revisionPtr revIDLastSave="0" documentId="13_ncr:1_{3B667FE8-79A7-4C2D-B325-B96EFAAAC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Sheet1" sheetId="2" r:id="rId2"/>
    <sheet name="Sheet3" sheetId="4" r:id="rId3"/>
    <sheet name="Sheet2" sheetId="3" r:id="rId4"/>
    <sheet name="Under field-manager session_dig" sheetId="5" r:id="rId5"/>
    <sheet name="absense of field manager_siddip" sheetId="6" r:id="rId6"/>
    <sheet name="Under field-manager session sid" sheetId="8" r:id="rId7"/>
  </sheets>
  <definedNames>
    <definedName name="_xlnm._FilterDatabase" localSheetId="0" hidden="1">Summary!$A$1:$E$103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I28" i="1"/>
  <c r="H28" i="1"/>
  <c r="I27" i="1"/>
  <c r="H27" i="1"/>
  <c r="M35" i="1"/>
  <c r="M34" i="1"/>
  <c r="M33" i="1"/>
  <c r="M29" i="1"/>
  <c r="M28" i="1"/>
  <c r="M27" i="1"/>
  <c r="DN3" i="6"/>
  <c r="DO3" i="6" s="1"/>
  <c r="DN2" i="6"/>
  <c r="DO2" i="6" s="1"/>
  <c r="DN1" i="6"/>
  <c r="DO1" i="6" s="1"/>
  <c r="DN3" i="8"/>
  <c r="DO3" i="8" s="1"/>
  <c r="DN2" i="8"/>
  <c r="DO2" i="8" s="1"/>
  <c r="DN1" i="8"/>
  <c r="DO1" i="8" s="1"/>
  <c r="DN3" i="4"/>
  <c r="DO3" i="4" s="1"/>
  <c r="DN2" i="4"/>
  <c r="DO2" i="4" s="1"/>
  <c r="DN1" i="4"/>
  <c r="DO1" i="4" s="1"/>
</calcChain>
</file>

<file path=xl/sharedStrings.xml><?xml version="1.0" encoding="utf-8"?>
<sst xmlns="http://schemas.openxmlformats.org/spreadsheetml/2006/main" count="1557" uniqueCount="241">
  <si>
    <t>School</t>
  </si>
  <si>
    <t>Date</t>
  </si>
  <si>
    <t>Subject</t>
  </si>
  <si>
    <t>12:31–5:00</t>
  </si>
  <si>
    <t>9:00–12:30</t>
  </si>
  <si>
    <t>TGR Institution  Boys Toopran</t>
  </si>
  <si>
    <t>English</t>
  </si>
  <si>
    <t>Mathematics</t>
  </si>
  <si>
    <t>Science</t>
  </si>
  <si>
    <t>TGR Institution  Girls  Choutuppal</t>
  </si>
  <si>
    <t>TGR Institution Boys  Bellampalli</t>
  </si>
  <si>
    <t>TGR Institution Boys  Lingampally</t>
  </si>
  <si>
    <t>TGR Institution Boys Peddapur Camp</t>
  </si>
  <si>
    <t>TGR Institution Girls  Digwal</t>
  </si>
  <si>
    <t>TGR Institution Girls  Tandur</t>
  </si>
  <si>
    <t>TGR Institution Girls  Vangara</t>
  </si>
  <si>
    <t>TGR Institution Girls  Vikarabad</t>
  </si>
  <si>
    <t>TGR Institution Girls Siddipet</t>
  </si>
  <si>
    <t>TGR Institution boys Velair</t>
  </si>
  <si>
    <t>SCHOOLS</t>
  </si>
  <si>
    <t>forenoon</t>
  </si>
  <si>
    <t>afternoon</t>
  </si>
  <si>
    <t>Girls  Tandur</t>
  </si>
  <si>
    <t>Girls  Digwal</t>
  </si>
  <si>
    <t>Girls  Vikarabad</t>
  </si>
  <si>
    <t>Girls Siddipet</t>
  </si>
  <si>
    <t>Forenoon</t>
  </si>
  <si>
    <t>Afternoon</t>
  </si>
  <si>
    <t>Girls Tandur</t>
  </si>
  <si>
    <t>Girls Digwal</t>
  </si>
  <si>
    <t>Girls Vikarabad</t>
  </si>
  <si>
    <t>english</t>
  </si>
  <si>
    <t>mathematics</t>
  </si>
  <si>
    <t>SCIENCE</t>
  </si>
  <si>
    <t>48.2666666666667%(YES)</t>
  </si>
  <si>
    <t>65.3333333333333%(YES)</t>
  </si>
  <si>
    <t>47.2%(YES)</t>
  </si>
  <si>
    <t>39.3846153846154%(YES)</t>
  </si>
  <si>
    <t>37.3809523809524%(YES)</t>
  </si>
  <si>
    <t>28.8888888888889%(YES)</t>
  </si>
  <si>
    <t>40.7407407407407%(YES)</t>
  </si>
  <si>
    <t>47.9432624113475%(YES)</t>
  </si>
  <si>
    <t>40%(YES)</t>
  </si>
  <si>
    <t>33.6%(YES)</t>
  </si>
  <si>
    <t>38.6666666666667%(YES)</t>
  </si>
  <si>
    <t>26.6666666666667%(YES)</t>
  </si>
  <si>
    <t>31.9047619047619%(YES)</t>
  </si>
  <si>
    <t>48%(YES)</t>
  </si>
  <si>
    <t>39%(YES)</t>
  </si>
  <si>
    <t>27%(YES)</t>
  </si>
  <si>
    <t>65%(YES)</t>
  </si>
  <si>
    <t>37%(YES)</t>
  </si>
  <si>
    <t>29%(YES)</t>
  </si>
  <si>
    <t>34%(YES)</t>
  </si>
  <si>
    <t>47%(YES)</t>
  </si>
  <si>
    <t>41%(YES)</t>
  </si>
  <si>
    <t>32%(YES)</t>
  </si>
  <si>
    <t>Absent</t>
  </si>
  <si>
    <t>Present</t>
  </si>
  <si>
    <t>Difference (P - A)</t>
  </si>
  <si>
    <t>State Schools</t>
  </si>
  <si>
    <t>Telangana</t>
  </si>
  <si>
    <t>Sangareddy</t>
  </si>
  <si>
    <t>8039270071</t>
  </si>
  <si>
    <t>F</t>
  </si>
  <si>
    <t>Feb 10 2026 12:49PM</t>
  </si>
  <si>
    <t>182989</t>
  </si>
  <si>
    <t>Low (Content)</t>
  </si>
  <si>
    <t>MCQ</t>
  </si>
  <si>
    <t>B</t>
  </si>
  <si>
    <t>What Do Various Nutrients Do For Our Body?</t>
  </si>
  <si>
    <t>182990</t>
  </si>
  <si>
    <t>Acids And Bases</t>
  </si>
  <si>
    <t>182992</t>
  </si>
  <si>
    <t>A</t>
  </si>
  <si>
    <t>Silk</t>
  </si>
  <si>
    <t>C</t>
  </si>
  <si>
    <t>182993</t>
  </si>
  <si>
    <t>Medium (Concept)</t>
  </si>
  <si>
    <t>Measuring Speed</t>
  </si>
  <si>
    <t>182994</t>
  </si>
  <si>
    <t>Measuring Temperature</t>
  </si>
  <si>
    <t>182996</t>
  </si>
  <si>
    <t>Climate</t>
  </si>
  <si>
    <t>182997</t>
  </si>
  <si>
    <t>Heating Effect Of Electric Current</t>
  </si>
  <si>
    <t>182999</t>
  </si>
  <si>
    <t>Wind Currents Are Generated Due To Uneven Heating On The Earth</t>
  </si>
  <si>
    <t>183002</t>
  </si>
  <si>
    <t>Hot And Cold</t>
  </si>
  <si>
    <t>183004</t>
  </si>
  <si>
    <t>Reflection Of Light</t>
  </si>
  <si>
    <t>183006</t>
  </si>
  <si>
    <t>High (Challenge)</t>
  </si>
  <si>
    <t>Photosynthesis — Food Making Process In Plants</t>
  </si>
  <si>
    <t>183008</t>
  </si>
  <si>
    <t>Why Do We Respire?</t>
  </si>
  <si>
    <t>183009</t>
  </si>
  <si>
    <t>Climate And Adaptation</t>
  </si>
  <si>
    <t>183011</t>
  </si>
  <si>
    <t>Seed Dispersal</t>
  </si>
  <si>
    <t>183013</t>
  </si>
  <si>
    <t>Modes Of Reproduction</t>
  </si>
  <si>
    <t>Feb 10 2026 12:29PM</t>
  </si>
  <si>
    <t>182898</t>
  </si>
  <si>
    <t>D</t>
  </si>
  <si>
    <t>Operations on Rational Numbers</t>
  </si>
  <si>
    <t>182991</t>
  </si>
  <si>
    <t>Use of Percentages</t>
  </si>
  <si>
    <t>182995</t>
  </si>
  <si>
    <t>182998</t>
  </si>
  <si>
    <t>183000</t>
  </si>
  <si>
    <t>Division of decimal numbers</t>
  </si>
  <si>
    <t>183001</t>
  </si>
  <si>
    <t>Two special Triangles : Equilateral and Isosceles</t>
  </si>
  <si>
    <t>183003</t>
  </si>
  <si>
    <t>Properties of addition and subtraction of Integers</t>
  </si>
  <si>
    <t>183005</t>
  </si>
  <si>
    <t>Mode</t>
  </si>
  <si>
    <t>183007</t>
  </si>
  <si>
    <t>Applications of simple Equations to Practical situations</t>
  </si>
  <si>
    <t>183010</t>
  </si>
  <si>
    <t>Pairs of Lines</t>
  </si>
  <si>
    <t>183012</t>
  </si>
  <si>
    <t>183014</t>
  </si>
  <si>
    <t>Sum of the lengths of two sides of a Triangle</t>
  </si>
  <si>
    <t>183015</t>
  </si>
  <si>
    <t>Circle Graph or Pie Chart</t>
  </si>
  <si>
    <t>183016</t>
  </si>
  <si>
    <t>Checking for Parallel Lines</t>
  </si>
  <si>
    <t>183017</t>
  </si>
  <si>
    <t>Setting up of an Equation</t>
  </si>
  <si>
    <t>Feb 10 2026 12:12PM</t>
  </si>
  <si>
    <t>182971</t>
  </si>
  <si>
    <t>The student will be able to retrieve and record information/identify key details from fiction and non-fiction.</t>
  </si>
  <si>
    <t>182972</t>
  </si>
  <si>
    <t>The student will be able to identify/explain how meaning is enhanced through choice of words and phrases.</t>
  </si>
  <si>
    <t>182973</t>
  </si>
  <si>
    <t>The student will be able to identify/explain how information/narrative content is related and contributes to meanings as a whole.</t>
  </si>
  <si>
    <t>182974</t>
  </si>
  <si>
    <t>The student will be able to comprehend literal information.</t>
  </si>
  <si>
    <t>182975</t>
  </si>
  <si>
    <t>The student will be able to predict what might happen from details stated and implied.</t>
  </si>
  <si>
    <t>182976</t>
  </si>
  <si>
    <t>The student will be able to summarise main ideas from more than one paragraph.</t>
  </si>
  <si>
    <t>182977</t>
  </si>
  <si>
    <t>The student will be able to make inferences from the text/explain and justify inferences with evidence from the text.</t>
  </si>
  <si>
    <t>182978</t>
  </si>
  <si>
    <t>The student will be able to make comparisons within the text.</t>
  </si>
  <si>
    <t>182979</t>
  </si>
  <si>
    <t>182980</t>
  </si>
  <si>
    <t>182981</t>
  </si>
  <si>
    <t>Verb</t>
  </si>
  <si>
    <t>182983</t>
  </si>
  <si>
    <t>Article</t>
  </si>
  <si>
    <t>182984</t>
  </si>
  <si>
    <t>Preposition</t>
  </si>
  <si>
    <t>182985</t>
  </si>
  <si>
    <t>Punctuation</t>
  </si>
  <si>
    <t>182986</t>
  </si>
  <si>
    <t>Synonym</t>
  </si>
  <si>
    <t>Total Questions</t>
  </si>
  <si>
    <t>Total Correct</t>
  </si>
  <si>
    <t>Performance %</t>
  </si>
  <si>
    <t>Overall</t>
  </si>
  <si>
    <t>Difficulty</t>
  </si>
  <si>
    <t>Total</t>
  </si>
  <si>
    <t>Correct</t>
  </si>
  <si>
    <t>%</t>
  </si>
  <si>
    <t>Low</t>
  </si>
  <si>
    <t>Medium</t>
  </si>
  <si>
    <t>High</t>
  </si>
  <si>
    <r>
      <t xml:space="preserve">Student: </t>
    </r>
    <r>
      <rPr>
        <b/>
        <sz val="18"/>
        <color theme="1"/>
        <rFont val="Calibri"/>
        <family val="2"/>
        <scheme val="minor"/>
      </rPr>
      <t>8039270071 – Girls Digwal – 10 Feb 2026</t>
    </r>
  </si>
  <si>
    <t xml:space="preserve"> Subject-wise Summary</t>
  </si>
  <si>
    <t>Difficulty-wise Performance</t>
  </si>
  <si>
    <t xml:space="preserve">                              Difficulty-wise Performance</t>
  </si>
  <si>
    <t>Learning Outcome (LO) Performance Summary</t>
  </si>
  <si>
    <t>Learning Outcome</t>
  </si>
  <si>
    <t>Total Qs</t>
  </si>
  <si>
    <t>Retrieve / Identify details</t>
  </si>
  <si>
    <t>Word meaning enhancement</t>
  </si>
  <si>
    <t>Narrative coherence</t>
  </si>
  <si>
    <t>Literal comprehension</t>
  </si>
  <si>
    <t>Prediction (text-based)</t>
  </si>
  <si>
    <t>Summarising</t>
  </si>
  <si>
    <t>Inference</t>
  </si>
  <si>
    <t>Comparison within text</t>
  </si>
  <si>
    <t>Grammar – Verb</t>
  </si>
  <si>
    <t>Grammar – Article</t>
  </si>
  <si>
    <t>Grammar – Preposition</t>
  </si>
  <si>
    <t>Grammar – Punctuation</t>
  </si>
  <si>
    <t>Vocabulary – Synonym</t>
  </si>
  <si>
    <t>Division of Decimals</t>
  </si>
  <si>
    <t>Special Triangles</t>
  </si>
  <si>
    <t>Integer Properties</t>
  </si>
  <si>
    <t>Simple Equations (Applications)</t>
  </si>
  <si>
    <t>Triangle Side Property</t>
  </si>
  <si>
    <t>Circle Graph</t>
  </si>
  <si>
    <t>Checking Parallel Lines</t>
  </si>
  <si>
    <t>Setting up Equation</t>
  </si>
  <si>
    <t>Nutrients</t>
  </si>
  <si>
    <t>Acids &amp; Bases</t>
  </si>
  <si>
    <t>Heating Effect of Current</t>
  </si>
  <si>
    <t>Wind Currents</t>
  </si>
  <si>
    <t>Hot &amp; Cold</t>
  </si>
  <si>
    <t>Reflection of Light</t>
  </si>
  <si>
    <t>Photosynthesis</t>
  </si>
  <si>
    <t>Respiration</t>
  </si>
  <si>
    <t>Climate &amp; Adaptation</t>
  </si>
  <si>
    <t>Modes of Reproduction</t>
  </si>
  <si>
    <t>Siddipet</t>
  </si>
  <si>
    <t>8398070014</t>
  </si>
  <si>
    <t>Feb 12 2026  9:27AM</t>
  </si>
  <si>
    <t>U</t>
  </si>
  <si>
    <t>Feb 12 2026  9:44AM</t>
  </si>
  <si>
    <t>Feb 12 2026 10:04AM</t>
  </si>
  <si>
    <t>8398070074</t>
  </si>
  <si>
    <t>Feb 12 2026  2:22PM</t>
  </si>
  <si>
    <t>Feb 12 2026  2:39PM</t>
  </si>
  <si>
    <t>Feb 12 2026  2:50PM</t>
  </si>
  <si>
    <t>LO Area</t>
  </si>
  <si>
    <t>Reading – Detail retrieval</t>
  </si>
  <si>
    <t>Word meaning</t>
  </si>
  <si>
    <t>Prediction</t>
  </si>
  <si>
    <t>Comparison</t>
  </si>
  <si>
    <t>Rational Numbers</t>
  </si>
  <si>
    <t>Percentages</t>
  </si>
  <si>
    <t>Simple Equations</t>
  </si>
  <si>
    <t>Triangle Property</t>
  </si>
  <si>
    <t>Parallel Lines</t>
  </si>
  <si>
    <t>Heating Effect</t>
  </si>
  <si>
    <r>
      <t xml:space="preserve">Student: </t>
    </r>
    <r>
      <rPr>
        <b/>
        <sz val="14"/>
        <color theme="1"/>
        <rFont val="Calibri"/>
        <family val="2"/>
        <scheme val="minor"/>
      </rPr>
      <t>8398070014 – Girls Siddipet – 12 Feb 2026</t>
    </r>
  </si>
  <si>
    <t>Subject-wise Summary</t>
  </si>
  <si>
    <t>LO-wise Performance (Grouped)</t>
  </si>
  <si>
    <r>
      <t xml:space="preserve">Student: </t>
    </r>
    <r>
      <rPr>
        <b/>
        <sz val="11"/>
        <color theme="1"/>
        <rFont val="Calibri"/>
        <family val="2"/>
        <scheme val="minor"/>
      </rPr>
      <t>8398070074 – Girls Siddipet – 12 Feb 2026 (Afternoon)</t>
    </r>
  </si>
  <si>
    <t>Detail retrieval</t>
  </si>
  <si>
    <t>Manager Present</t>
  </si>
  <si>
    <t>Manager Absent</t>
  </si>
  <si>
    <t>persent</t>
  </si>
  <si>
    <t>absent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</si>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</sst>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9" fontId="0" fillId="3" borderId="1" xfId="0" applyNumberFormat="1" applyFill="1" applyBorder="1"/>
    <xf numFmtId="9" fontId="2" fillId="3" borderId="1" xfId="0" applyNumberFormat="1" applyFont="1" applyFill="1" applyBorder="1"/>
    <xf numFmtId="0" fontId="3" fillId="0" borderId="0" xfId="0" applyFont="1"/>
    <xf numFmtId="9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9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3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9" fontId="3" fillId="5" borderId="1" xfId="0" applyNumberFormat="1" applyFont="1" applyFill="1" applyBorder="1" applyAlignment="1">
      <alignment vertical="center" wrapText="1"/>
    </xf>
    <xf numFmtId="0" fontId="7" fillId="4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9" fontId="0" fillId="0" borderId="1" xfId="0" applyNumberFormat="1" applyFill="1" applyBorder="1"/>
    <xf numFmtId="9" fontId="0" fillId="7" borderId="1" xfId="0" applyNumberFormat="1" applyFill="1" applyBorder="1"/>
    <xf numFmtId="9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TGR Institution Girls  Digwal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Summary!$H$26</c:f>
              <c:strCache>
                <c:ptCount val="1"/>
                <c:pt idx="0">
                  <c:v>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Summary!$G$27:$G$29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Summary!$H$27:$H$29</c:f>
              <c:numCache>
                <c:formatCode>0%</c:formatCode>
                <c:ptCount val="3"/>
                <c:pt idx="0">
                  <c:v>0.39</c:v>
                </c:pt>
                <c:pt idx="1">
                  <c:v>0.33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5-4C24-879F-FE1CFEA97296}"/>
            </c:ext>
          </c:extLst>
        </c:ser>
        <c:ser>
          <c:idx val="1"/>
          <c:order val="1"/>
          <c:tx>
            <c:strRef>
              <c:f>Summary!$I$26</c:f>
              <c:strCache>
                <c:ptCount val="1"/>
                <c:pt idx="0">
                  <c:v>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Summary!$G$27:$G$29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Summary!$I$27:$I$29</c:f>
              <c:numCache>
                <c:formatCode>0%</c:formatCode>
                <c:ptCount val="3"/>
                <c:pt idx="0">
                  <c:v>0.38</c:v>
                </c:pt>
                <c:pt idx="1">
                  <c:v>0.45</c:v>
                </c:pt>
                <c:pt idx="2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5-4C24-879F-FE1CFEA972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754671"/>
        <c:axId val="106912383"/>
      </c:barChart>
      <c:catAx>
        <c:axId val="10675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2383"/>
        <c:crosses val="autoZero"/>
        <c:auto val="1"/>
        <c:lblAlgn val="ctr"/>
        <c:lblOffset val="100"/>
        <c:noMultiLvlLbl val="0"/>
      </c:catAx>
      <c:valAx>
        <c:axId val="10691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5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TGR Institution Girls  Tandur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Summary!$L$26</c:f>
              <c:strCache>
                <c:ptCount val="1"/>
                <c:pt idx="0">
                  <c:v>persent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Summary!$K$27:$K$29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Summary!$L$27:$L$29</c:f>
              <c:numCache>
                <c:formatCode>0%</c:formatCode>
                <c:ptCount val="3"/>
                <c:pt idx="0">
                  <c:v>0.48266666666666658</c:v>
                </c:pt>
                <c:pt idx="1">
                  <c:v>0.65333333333333332</c:v>
                </c:pt>
                <c:pt idx="2">
                  <c:v>0.47199999999999998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C-4DE2-B187-CC7211D8DABA}"/>
            </c:ext>
          </c:extLst>
        </c:ser>
        <c:ser>
          <c:idx val="1"/>
          <c:order val="1"/>
          <c:tx>
            <c:strRef>
              <c:f>Summary!$M$26</c:f>
              <c:strCache>
                <c:ptCount val="1"/>
                <c:pt idx="0">
                  <c:v>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Summary!$K$27:$K$29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Summary!$M$27:$M$29</c:f>
              <c:numCache>
                <c:formatCode>0%</c:formatCode>
                <c:ptCount val="3"/>
                <c:pt idx="0">
                  <c:v>0.3262020792722547</c:v>
                </c:pt>
                <c:pt idx="1">
                  <c:v>0.50576673164392461</c:v>
                </c:pt>
                <c:pt idx="2">
                  <c:v>0.41364522417153998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EC-4DE2-B187-CC7211D8DA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4040751"/>
        <c:axId val="125028943"/>
      </c:barChart>
      <c:catAx>
        <c:axId val="161404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8943"/>
        <c:crosses val="autoZero"/>
        <c:auto val="1"/>
        <c:lblAlgn val="ctr"/>
        <c:lblOffset val="100"/>
        <c:noMultiLvlLbl val="0"/>
      </c:catAx>
      <c:valAx>
        <c:axId val="1250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04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TGR Institution Girls  Vikarabad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Summary!$H$32</c:f>
              <c:strCache>
                <c:ptCount val="1"/>
                <c:pt idx="0">
                  <c:v>persent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Summary!$G$33:$G$35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Summary!$H$33:$H$35</c:f>
              <c:numCache>
                <c:formatCode>0%</c:formatCode>
                <c:ptCount val="3"/>
                <c:pt idx="0">
                  <c:v>0.4</c:v>
                </c:pt>
                <c:pt idx="1">
                  <c:v>0.33600000000000002</c:v>
                </c:pt>
                <c:pt idx="2">
                  <c:v>0.38666666666666671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5-4C31-A1D4-E5BF890C37B0}"/>
            </c:ext>
          </c:extLst>
        </c:ser>
        <c:ser>
          <c:idx val="1"/>
          <c:order val="1"/>
          <c:tx>
            <c:strRef>
              <c:f>Summary!$I$32</c:f>
              <c:strCache>
                <c:ptCount val="1"/>
                <c:pt idx="0">
                  <c:v>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Summary!$G$33:$G$35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Summary!$I$33:$I$35</c:f>
              <c:numCache>
                <c:formatCode>0%</c:formatCode>
                <c:ptCount val="3"/>
                <c:pt idx="0">
                  <c:v>0.36296296296296288</c:v>
                </c:pt>
                <c:pt idx="1">
                  <c:v>0.31851851851851848</c:v>
                </c:pt>
                <c:pt idx="2">
                  <c:v>0.28888888888888892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E5-4C31-A1D4-E5BF890C37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600239"/>
        <c:axId val="75601679"/>
      </c:barChart>
      <c:catAx>
        <c:axId val="7560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01679"/>
        <c:crosses val="autoZero"/>
        <c:auto val="1"/>
        <c:lblAlgn val="ctr"/>
        <c:lblOffset val="100"/>
        <c:noMultiLvlLbl val="0"/>
      </c:catAx>
      <c:valAx>
        <c:axId val="756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0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TGR Institution Girls Siddipet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Summary!$L$32</c:f>
              <c:strCache>
                <c:ptCount val="1"/>
                <c:pt idx="0">
                  <c:v>persent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Summary!$K$33:$K$35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Summary!$L$33:$L$35</c:f>
              <c:numCache>
                <c:formatCode>0%</c:formatCode>
                <c:ptCount val="3"/>
                <c:pt idx="0">
                  <c:v>0.26666666666666672</c:v>
                </c:pt>
                <c:pt idx="1">
                  <c:v>0.4</c:v>
                </c:pt>
                <c:pt idx="2">
                  <c:v>0.31904761904761908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E-45C6-A05F-E4FED4DEA2A3}"/>
            </c:ext>
          </c:extLst>
        </c:ser>
        <c:ser>
          <c:idx val="1"/>
          <c:order val="1"/>
          <c:tx>
            <c:strRef>
              <c:f>Summary!$M$32</c:f>
              <c:strCache>
                <c:ptCount val="1"/>
                <c:pt idx="0">
                  <c:v>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Summary!$K$33:$K$35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Summary!$M$33:$M$35</c:f>
              <c:numCache>
                <c:formatCode>0%</c:formatCode>
                <c:ptCount val="3"/>
                <c:pt idx="0">
                  <c:v>0.4942307692307692</c:v>
                </c:pt>
                <c:pt idx="1">
                  <c:v>0.74864468864468858</c:v>
                </c:pt>
                <c:pt idx="2">
                  <c:v>0.44952547452547453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E-45C6-A05F-E4FED4DEA2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210335"/>
        <c:axId val="117210815"/>
      </c:barChart>
      <c:catAx>
        <c:axId val="11721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0815"/>
        <c:crosses val="autoZero"/>
        <c:auto val="1"/>
        <c:lblAlgn val="ctr"/>
        <c:lblOffset val="100"/>
        <c:noMultiLvlLbl val="0"/>
      </c:catAx>
      <c:valAx>
        <c:axId val="11721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English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Sheet1!$I$1:$I$2</c:f>
              <c:strCache>
                <c:ptCount val="2"/>
                <c:pt idx="0">
                  <c:v>english</c:v>
                </c:pt>
                <c:pt idx="1">
                  <c:v>Forenoon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BB8-4B66-90AF-353F33C6B30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B8-4B66-90AF-353F33C6B30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B8-4B66-90AF-353F33C6B30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BB8-4B66-90AF-353F33C6B3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Sheet1!$G$3:$H$6</c15:sqref>
                  </c15:fullRef>
                  <c15:levelRef>
                    <c15:sqref>Sheet1!$G$3:$G$6</c15:sqref>
                  </c15:levelRef>
                </c:ext>
              </c:extLst>
              <c:f>Sheet1!$G$3:$G$6</c:f>
              <c:strCache>
                <c:ptCount val="4"/>
                <c:pt idx="0">
                  <c:v>Girls Tandur</c:v>
                </c:pt>
                <c:pt idx="1">
                  <c:v>Girls Digwal</c:v>
                </c:pt>
                <c:pt idx="2">
                  <c:v>Girls Vikarabad</c:v>
                </c:pt>
                <c:pt idx="3">
                  <c:v>Girls Siddipet</c:v>
                </c:pt>
              </c:strCache>
            </c:strRef>
          </c:cat>
          <c:val>
            <c:numRef>
              <c:f>Sheet1!$I$3:$I$6</c:f>
              <c:numCache>
                <c:formatCode>0%</c:formatCode>
                <c:ptCount val="4"/>
                <c:pt idx="0">
                  <c:v>0.33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8-4B66-90AF-353F33C6B30D}"/>
            </c:ext>
          </c:extLst>
        </c:ser>
        <c:ser>
          <c:idx val="1"/>
          <c:order val="1"/>
          <c:tx>
            <c:strRef>
              <c:f>Sheet1!$J$1:$J$2</c:f>
              <c:strCache>
                <c:ptCount val="2"/>
                <c:pt idx="0">
                  <c:v>english</c:v>
                </c:pt>
                <c:pt idx="1">
                  <c:v>Afternoon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B8-4B66-90AF-353F33C6B3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Sheet1!$G$3:$H$6</c15:sqref>
                  </c15:fullRef>
                  <c15:levelRef>
                    <c15:sqref>Sheet1!$G$3:$G$6</c15:sqref>
                  </c15:levelRef>
                </c:ext>
              </c:extLst>
              <c:f>Sheet1!$G$3:$G$6</c:f>
              <c:strCache>
                <c:ptCount val="4"/>
                <c:pt idx="0">
                  <c:v>Girls Tandur</c:v>
                </c:pt>
                <c:pt idx="1">
                  <c:v>Girls Digwal</c:v>
                </c:pt>
                <c:pt idx="2">
                  <c:v>Girls Vikarabad</c:v>
                </c:pt>
                <c:pt idx="3">
                  <c:v>Girls Siddipet</c:v>
                </c:pt>
              </c:strCache>
            </c:strRef>
          </c:cat>
          <c:val>
            <c:numRef>
              <c:f>Sheet1!$J$3:$J$6</c:f>
              <c:numCache>
                <c:formatCode>General</c:formatCode>
                <c:ptCount val="4"/>
                <c:pt idx="0" formatCode="0%">
                  <c:v>0</c:v>
                </c:pt>
                <c:pt idx="3" formatCode="0%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8-4B66-90AF-353F33C6B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78975"/>
        <c:axId val="82275615"/>
      </c:barChart>
      <c:catAx>
        <c:axId val="8227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Schools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5615"/>
        <c:crosses val="autoZero"/>
        <c:auto val="1"/>
        <c:lblAlgn val="ctr"/>
        <c:lblOffset val="100"/>
        <c:noMultiLvlLbl val="0"/>
      </c:catAx>
      <c:valAx>
        <c:axId val="8227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Mathematics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Forenoon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345-413D-BB5D-EF0D3D7179C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45-413D-BB5D-EF0D3D7179C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45-413D-BB5D-EF0D3D7179C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345-413D-BB5D-EF0D3D7179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Sheet1!$L$3:$M$6</c15:sqref>
                  </c15:fullRef>
                  <c15:levelRef>
                    <c15:sqref>Sheet1!$L$3:$L$6</c15:sqref>
                  </c15:levelRef>
                </c:ext>
              </c:extLst>
              <c:f>Sheet1!$L$3:$L$6</c:f>
              <c:strCache>
                <c:ptCount val="4"/>
                <c:pt idx="0">
                  <c:v>Girls Tandur</c:v>
                </c:pt>
                <c:pt idx="1">
                  <c:v>Girls Digwal</c:v>
                </c:pt>
                <c:pt idx="2">
                  <c:v>Girls Vikarabad</c:v>
                </c:pt>
                <c:pt idx="3">
                  <c:v>Girls Siddipet</c:v>
                </c:pt>
              </c:strCache>
            </c:strRef>
          </c:cat>
          <c:val>
            <c:numRef>
              <c:f>Sheet1!$N$3:$N$6</c:f>
              <c:numCache>
                <c:formatCode>0%</c:formatCode>
                <c:ptCount val="4"/>
                <c:pt idx="0">
                  <c:v>0.64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5-413D-BB5D-EF0D3D7179C9}"/>
            </c:ext>
          </c:extLst>
        </c:ser>
        <c:ser>
          <c:idx val="1"/>
          <c:order val="1"/>
          <c:tx>
            <c:strRef>
              <c:f>Sheet1!$O$2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345-413D-BB5D-EF0D3D7179C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45-413D-BB5D-EF0D3D7179C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345-413D-BB5D-EF0D3D7179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Sheet1!$L$3:$M$6</c15:sqref>
                  </c15:fullRef>
                  <c15:levelRef>
                    <c15:sqref>Sheet1!$L$3:$L$6</c15:sqref>
                  </c15:levelRef>
                </c:ext>
              </c:extLst>
              <c:f>Sheet1!$L$3:$L$6</c:f>
              <c:strCache>
                <c:ptCount val="4"/>
                <c:pt idx="0">
                  <c:v>Girls Tandur</c:v>
                </c:pt>
                <c:pt idx="1">
                  <c:v>Girls Digwal</c:v>
                </c:pt>
                <c:pt idx="2">
                  <c:v>Girls Vikarabad</c:v>
                </c:pt>
                <c:pt idx="3">
                  <c:v>Girls Siddipet</c:v>
                </c:pt>
              </c:strCache>
            </c:strRef>
          </c:cat>
          <c:val>
            <c:numRef>
              <c:f>Sheet1!$O$3:$O$6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45-413D-BB5D-EF0D3D7179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259295"/>
        <c:axId val="82259775"/>
      </c:barChart>
      <c:catAx>
        <c:axId val="82259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Schools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59775"/>
        <c:crosses val="autoZero"/>
        <c:auto val="1"/>
        <c:lblAlgn val="ctr"/>
        <c:lblOffset val="100"/>
        <c:noMultiLvlLbl val="0"/>
      </c:catAx>
      <c:valAx>
        <c:axId val="8225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5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Sheet1!$S$2</c:f>
              <c:strCache>
                <c:ptCount val="1"/>
                <c:pt idx="0">
                  <c:v>Forenoon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F95-4095-B515-F25F33AE6B4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95-4095-B515-F25F33AE6B4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95-4095-B515-F25F33AE6B4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F95-4095-B515-F25F33AE6B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Sheet1!$Q$3:$R$6</c15:sqref>
                  </c15:fullRef>
                  <c15:levelRef>
                    <c15:sqref>Sheet1!$Q$3:$Q$6</c15:sqref>
                  </c15:levelRef>
                </c:ext>
              </c:extLst>
              <c:f>Sheet1!$Q$3:$Q$6</c:f>
              <c:strCache>
                <c:ptCount val="4"/>
                <c:pt idx="0">
                  <c:v>Girls Tandur</c:v>
                </c:pt>
                <c:pt idx="1">
                  <c:v>Girls Digwal</c:v>
                </c:pt>
                <c:pt idx="2">
                  <c:v>Girls Vikarabad</c:v>
                </c:pt>
                <c:pt idx="3">
                  <c:v>Girls Siddipet</c:v>
                </c:pt>
              </c:strCache>
            </c:strRef>
          </c:cat>
          <c:val>
            <c:numRef>
              <c:f>Sheet1!$S$3:$S$6</c:f>
              <c:numCache>
                <c:formatCode>0%</c:formatCode>
                <c:ptCount val="4"/>
                <c:pt idx="0">
                  <c:v>0.6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5-4095-B515-F25F33AE6B4D}"/>
            </c:ext>
          </c:extLst>
        </c:ser>
        <c:ser>
          <c:idx val="1"/>
          <c:order val="1"/>
          <c:tx>
            <c:strRef>
              <c:f>Sheet1!$T$2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F95-4095-B515-F25F33AE6B4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F95-4095-B515-F25F33AE6B4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95-4095-B515-F25F33AE6B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Sheet1!$Q$3:$R$6</c15:sqref>
                  </c15:fullRef>
                  <c15:levelRef>
                    <c15:sqref>Sheet1!$Q$3:$Q$6</c15:sqref>
                  </c15:levelRef>
                </c:ext>
              </c:extLst>
              <c:f>Sheet1!$Q$3:$Q$6</c:f>
              <c:strCache>
                <c:ptCount val="4"/>
                <c:pt idx="0">
                  <c:v>Girls Tandur</c:v>
                </c:pt>
                <c:pt idx="1">
                  <c:v>Girls Digwal</c:v>
                </c:pt>
                <c:pt idx="2">
                  <c:v>Girls Vikarabad</c:v>
                </c:pt>
                <c:pt idx="3">
                  <c:v>Girls Siddipet</c:v>
                </c:pt>
              </c:strCache>
            </c:strRef>
          </c:cat>
          <c:val>
            <c:numRef>
              <c:f>Sheet1!$T$3:$T$6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5-4095-B515-F25F33AE6B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281855"/>
        <c:axId val="82285215"/>
      </c:barChart>
      <c:catAx>
        <c:axId val="8228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Schools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85215"/>
        <c:crosses val="autoZero"/>
        <c:auto val="1"/>
        <c:lblAlgn val="ctr"/>
        <c:lblOffset val="100"/>
        <c:noMultiLvlLbl val="0"/>
      </c:catAx>
      <c:valAx>
        <c:axId val="8228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8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'Under field-manager session sid'!$D$12</c:f>
              <c:strCache>
                <c:ptCount val="1"/>
                <c:pt idx="0">
                  <c:v>Performance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'Under field-manager session sid'!$A$13:$A$16</c15:sqref>
                  </c15:fullRef>
                </c:ext>
              </c:extLst>
              <c:f>'Under field-manager session sid'!$A$13:$A$15</c:f>
              <c:strCache>
                <c:ptCount val="3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'Under field-manager session sid'!$D$13:$D$16</c15:sqref>
                  </c15:fullRef>
                </c:ext>
              </c:extLst>
              <c:f>'Under field-manager session sid'!$D$13:$D$15</c:f>
              <c:numCache>
                <c:formatCode>0%</c:formatCode>
                <c:ptCount val="3"/>
                <c:pt idx="0">
                  <c:v>0.53</c:v>
                </c:pt>
                <c:pt idx="1">
                  <c:v>0.47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F-4BD3-89CB-613DCF946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032303"/>
        <c:axId val="250035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'Under field-manager session sid'!$B$12</c15:sqref>
                        </c15:formulaRef>
                      </c:ext>
                    </c:extLst>
                    <c:strCache>
                      <c:ptCount val="1"/>
                      <c:pt idx="0">
                        <c:v>Total Qs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'Under field-manager session sid'!$A$13:$A$16</c15:sqref>
                        </c15:fullRef>
                        <c15:formulaRef>
                          <c15:sqref>'Under field-manager session sid'!$A$13:$A$15</c15:sqref>
                        </c15:formulaRef>
                      </c:ext>
                    </c:extLst>
                    <c:strCache>
                      <c:ptCount val="3"/>
                      <c:pt idx="0">
                        <c:v>English</c:v>
                      </c:pt>
                      <c:pt idx="1">
                        <c:v>Mathematics</c:v>
                      </c:pt>
                      <c:pt idx="2">
                        <c:v>Science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'Under field-manager session sid'!$B$13:$B$16</c15:sqref>
                        </c15:fullRef>
                        <c15:formulaRef>
                          <c15:sqref>'Under field-manager session sid'!$B$13:$B$15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D0F-4BD3-89CB-613DCF94612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'Under field-manager session sid'!$C$12</c15:sqref>
                        </c15:formulaRef>
                      </c:ext>
                    </c:extLst>
                    <c:strCache>
                      <c:ptCount val="1"/>
                      <c:pt idx="0">
                        <c:v>Correct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'Under field-manager session sid'!$A$13:$A$16</c15:sqref>
                        </c15:fullRef>
                        <c15:formulaRef>
                          <c15:sqref>'Under field-manager session sid'!$A$13:$A$15</c15:sqref>
                        </c15:formulaRef>
                      </c:ext>
                    </c:extLst>
                    <c:strCache>
                      <c:ptCount val="3"/>
                      <c:pt idx="0">
                        <c:v>English</c:v>
                      </c:pt>
                      <c:pt idx="1">
                        <c:v>Mathematics</c:v>
                      </c:pt>
                      <c:pt idx="2">
                        <c:v>Science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'Under field-manager session sid'!$C$13:$C$16</c15:sqref>
                        </c15:fullRef>
                        <c15:formulaRef>
                          <c15:sqref>'Under field-manager session sid'!$C$13:$C$15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</c:v>
                      </c:pt>
                      <c:pt idx="1">
                        <c:v>7</c:v>
                      </c:pt>
                      <c:pt idx="2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D0F-4BD3-89CB-613DCF94612F}"/>
                  </c:ext>
                </c:extLst>
              </c15:ser>
            </c15:filteredBarSeries>
          </c:ext>
        </c:extLst>
      </c:barChart>
      <c:catAx>
        <c:axId val="25003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35183"/>
        <c:crosses val="autoZero"/>
        <c:auto val="1"/>
        <c:lblAlgn val="ctr"/>
        <c:lblOffset val="100"/>
        <c:noMultiLvlLbl val="0"/>
      </c:catAx>
      <c:valAx>
        <c:axId val="2500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3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36</xdr:row>
      <xdr:rowOff>171450</xdr:rowOff>
    </xdr:from>
    <xdr:to>
      <xdr:col>10</xdr:col>
      <xdr:colOff>914400</xdr:colOff>
      <xdr:row>51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C6F8B-6684-9C39-9734-0F26E45A0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1173480</xdr:colOff>
      <xdr:row>37</xdr:row>
      <xdr:rowOff>3810</xdr:rowOff>
    </xdr:from>
    <xdr:to>
      <xdr:col>17</xdr:col>
      <xdr:colOff>342900</xdr:colOff>
      <xdr:row>52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F6FF9E-09C4-28D9-24FA-164A823D9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83820</xdr:colOff>
      <xdr:row>53</xdr:row>
      <xdr:rowOff>163830</xdr:rowOff>
    </xdr:from>
    <xdr:to>
      <xdr:col>10</xdr:col>
      <xdr:colOff>906780</xdr:colOff>
      <xdr:row>68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540253-1260-26F6-C593-B9A1E9B87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1158240</xdr:colOff>
      <xdr:row>54</xdr:row>
      <xdr:rowOff>3810</xdr:rowOff>
    </xdr:from>
    <xdr:to>
      <xdr:col>17</xdr:col>
      <xdr:colOff>327660</xdr:colOff>
      <xdr:row>69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A8B919-4FCD-4BB9-18F1-1D69C7666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14</xdr:row>
      <xdr:rowOff>163830</xdr:rowOff>
    </xdr:from>
    <xdr:to>
      <xdr:col>5</xdr:col>
      <xdr:colOff>441960</xdr:colOff>
      <xdr:row>29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3419D9-0A48-2B79-B254-23798B9CD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14</xdr:row>
      <xdr:rowOff>171450</xdr:rowOff>
    </xdr:from>
    <xdr:to>
      <xdr:col>12</xdr:col>
      <xdr:colOff>297180</xdr:colOff>
      <xdr:row>29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3C3567-0006-F671-4D87-0599531F1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396240</xdr:colOff>
      <xdr:row>14</xdr:row>
      <xdr:rowOff>163830</xdr:rowOff>
    </xdr:from>
    <xdr:to>
      <xdr:col>19</xdr:col>
      <xdr:colOff>502920</xdr:colOff>
      <xdr:row>29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32C17D-C1C5-F93D-ACDF-30D0CCFF8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10</xdr:row>
      <xdr:rowOff>60960</xdr:rowOff>
    </xdr:from>
    <xdr:to>
      <xdr:col>7</xdr:col>
      <xdr:colOff>205740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D1FE2-6C33-3F22-ECED-BF0C91FA7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topLeftCell="B21" workbookViewId="0">
      <selection activeCell="K23" sqref="K23"/>
    </sheetView>
  </sheetViews>
  <sheetFormatPr defaultRowHeight="14.4" x14ac:dyDescent="0.3"/>
  <cols>
    <col min="1" max="1" width="31.21875" bestFit="1" customWidth="1"/>
    <col min="2" max="2" width="10.33203125" bestFit="1" customWidth="1"/>
    <col min="3" max="3" width="11.6640625" bestFit="1" customWidth="1"/>
    <col min="4" max="5" width="12" bestFit="1" customWidth="1"/>
    <col min="7" max="7" width="26.5546875" bestFit="1" customWidth="1"/>
    <col min="8" max="8" width="10.33203125" bestFit="1" customWidth="1"/>
    <col min="11" max="11" width="24" bestFit="1" customWidth="1"/>
    <col min="14" max="14" width="10.33203125" bestFit="1" customWidth="1"/>
  </cols>
  <sheetData>
    <row r="1" spans="1:17" x14ac:dyDescent="0.3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G1" s="1" t="s">
        <v>13</v>
      </c>
      <c r="H1" s="2">
        <v>46063</v>
      </c>
      <c r="I1" s="1" t="s">
        <v>6</v>
      </c>
      <c r="J1" s="5">
        <v>0.39384615384615379</v>
      </c>
      <c r="K1" s="6"/>
      <c r="M1" s="1" t="s">
        <v>14</v>
      </c>
      <c r="N1" s="2">
        <v>46062</v>
      </c>
      <c r="O1" s="1" t="s">
        <v>6</v>
      </c>
      <c r="P1" s="3">
        <v>0.32500000000000001</v>
      </c>
      <c r="Q1" s="5">
        <v>0.48266666666666658</v>
      </c>
    </row>
    <row r="2" spans="1:17" x14ac:dyDescent="0.3">
      <c r="A2" s="1" t="s">
        <v>5</v>
      </c>
      <c r="B2" s="2">
        <v>46062</v>
      </c>
      <c r="C2" s="1" t="s">
        <v>6</v>
      </c>
      <c r="D2" s="3">
        <v>0.97037037037037044</v>
      </c>
      <c r="E2" s="3">
        <v>0.78823529411764703</v>
      </c>
      <c r="G2" s="1" t="s">
        <v>13</v>
      </c>
      <c r="H2" s="2">
        <v>46063</v>
      </c>
      <c r="I2" s="1" t="s">
        <v>7</v>
      </c>
      <c r="J2" s="5">
        <v>0.37380952380952381</v>
      </c>
      <c r="K2" s="5">
        <v>0.28888888888888892</v>
      </c>
      <c r="M2" s="1" t="s">
        <v>14</v>
      </c>
      <c r="N2" s="2">
        <v>46062</v>
      </c>
      <c r="O2" s="1" t="s">
        <v>7</v>
      </c>
      <c r="P2" s="3">
        <v>0.64166666666666661</v>
      </c>
      <c r="Q2" s="5">
        <v>0.65333333333333332</v>
      </c>
    </row>
    <row r="3" spans="1:17" x14ac:dyDescent="0.3">
      <c r="A3" s="1" t="s">
        <v>5</v>
      </c>
      <c r="B3" s="2">
        <v>46062</v>
      </c>
      <c r="C3" s="1" t="s">
        <v>7</v>
      </c>
      <c r="D3" s="3">
        <v>0.96296296296296291</v>
      </c>
      <c r="E3" s="3">
        <v>0.77843137254901962</v>
      </c>
      <c r="G3" s="1" t="s">
        <v>13</v>
      </c>
      <c r="H3" s="2">
        <v>46063</v>
      </c>
      <c r="I3" s="1" t="s">
        <v>8</v>
      </c>
      <c r="J3" s="5">
        <v>0.47943262411347509</v>
      </c>
      <c r="K3" s="5">
        <v>0.40740740740740738</v>
      </c>
      <c r="M3" s="1" t="s">
        <v>14</v>
      </c>
      <c r="N3" s="2">
        <v>46062</v>
      </c>
      <c r="O3" s="1" t="s">
        <v>8</v>
      </c>
      <c r="P3" s="3">
        <v>0.6</v>
      </c>
      <c r="Q3" s="5">
        <v>0.47199999999999998</v>
      </c>
    </row>
    <row r="4" spans="1:17" x14ac:dyDescent="0.3">
      <c r="A4" s="1" t="s">
        <v>5</v>
      </c>
      <c r="B4" s="2">
        <v>46062</v>
      </c>
      <c r="C4" s="1" t="s">
        <v>8</v>
      </c>
      <c r="D4" s="3">
        <v>0.97037037037037044</v>
      </c>
      <c r="E4" s="3">
        <v>0.86078431372549014</v>
      </c>
      <c r="G4" s="1" t="s">
        <v>13</v>
      </c>
      <c r="H4" s="2">
        <v>46066</v>
      </c>
      <c r="I4" s="1" t="s">
        <v>6</v>
      </c>
      <c r="J4" s="3"/>
      <c r="K4" s="3">
        <v>0.37666666666666659</v>
      </c>
      <c r="M4" s="1" t="s">
        <v>14</v>
      </c>
      <c r="N4" s="2">
        <v>46063</v>
      </c>
      <c r="O4" s="1" t="s">
        <v>6</v>
      </c>
      <c r="P4" s="3"/>
      <c r="Q4" s="3">
        <v>0.35185185185185192</v>
      </c>
    </row>
    <row r="5" spans="1:17" x14ac:dyDescent="0.3">
      <c r="A5" s="1" t="s">
        <v>5</v>
      </c>
      <c r="B5" s="2">
        <v>46063</v>
      </c>
      <c r="C5" s="1" t="s">
        <v>6</v>
      </c>
      <c r="D5" s="3">
        <v>0.76458333333333328</v>
      </c>
      <c r="E5" s="3">
        <v>0.78666666666666674</v>
      </c>
      <c r="G5" s="1" t="s">
        <v>13</v>
      </c>
      <c r="H5" s="2">
        <v>46066</v>
      </c>
      <c r="I5" s="1" t="s">
        <v>7</v>
      </c>
      <c r="J5" s="3"/>
      <c r="K5" s="3">
        <v>0.45</v>
      </c>
      <c r="M5" s="1" t="s">
        <v>14</v>
      </c>
      <c r="N5" s="2">
        <v>46063</v>
      </c>
      <c r="O5" s="1" t="s">
        <v>7</v>
      </c>
      <c r="P5" s="3"/>
      <c r="Q5" s="3">
        <v>0.50370370370370365</v>
      </c>
    </row>
    <row r="6" spans="1:17" x14ac:dyDescent="0.3">
      <c r="A6" s="1" t="s">
        <v>5</v>
      </c>
      <c r="B6" s="2">
        <v>46063</v>
      </c>
      <c r="C6" s="1" t="s">
        <v>7</v>
      </c>
      <c r="D6" s="3">
        <v>0.93125000000000002</v>
      </c>
      <c r="E6" s="3">
        <v>0.97333333333333338</v>
      </c>
      <c r="G6" s="1" t="s">
        <v>13</v>
      </c>
      <c r="H6" s="2">
        <v>46066</v>
      </c>
      <c r="I6" s="1" t="s">
        <v>8</v>
      </c>
      <c r="J6" s="3"/>
      <c r="K6" s="3">
        <v>0.65</v>
      </c>
      <c r="M6" s="1" t="s">
        <v>14</v>
      </c>
      <c r="N6" s="2">
        <v>46063</v>
      </c>
      <c r="O6" s="1" t="s">
        <v>8</v>
      </c>
      <c r="P6" s="3"/>
      <c r="Q6" s="3">
        <v>0.31111111111111112</v>
      </c>
    </row>
    <row r="7" spans="1:17" x14ac:dyDescent="0.3">
      <c r="A7" s="1" t="s">
        <v>5</v>
      </c>
      <c r="B7" s="2">
        <v>46063</v>
      </c>
      <c r="C7" s="1" t="s">
        <v>8</v>
      </c>
      <c r="D7" s="3">
        <v>0.86896551724137927</v>
      </c>
      <c r="E7" s="3">
        <v>0.94166666666666665</v>
      </c>
      <c r="M7" s="1" t="s">
        <v>14</v>
      </c>
      <c r="N7" s="2">
        <v>46064</v>
      </c>
      <c r="O7" s="1" t="s">
        <v>6</v>
      </c>
      <c r="P7" s="3">
        <v>0.30175438596491228</v>
      </c>
      <c r="Q7" s="3"/>
    </row>
    <row r="8" spans="1:17" x14ac:dyDescent="0.3">
      <c r="A8" s="1" t="s">
        <v>5</v>
      </c>
      <c r="B8" s="2">
        <v>46065</v>
      </c>
      <c r="C8" s="1" t="s">
        <v>6</v>
      </c>
      <c r="D8" s="3">
        <v>0.73333333333333328</v>
      </c>
      <c r="E8" s="3"/>
      <c r="M8" s="1" t="s">
        <v>14</v>
      </c>
      <c r="N8" s="2">
        <v>46064</v>
      </c>
      <c r="O8" s="1" t="s">
        <v>7</v>
      </c>
      <c r="P8" s="3">
        <v>0.3719298245614035</v>
      </c>
      <c r="Q8" s="3"/>
    </row>
    <row r="9" spans="1:17" x14ac:dyDescent="0.3">
      <c r="A9" s="1" t="s">
        <v>5</v>
      </c>
      <c r="B9" s="2">
        <v>46065</v>
      </c>
      <c r="C9" s="1" t="s">
        <v>7</v>
      </c>
      <c r="D9" s="3"/>
      <c r="E9" s="3">
        <v>1</v>
      </c>
      <c r="M9" s="1" t="s">
        <v>14</v>
      </c>
      <c r="N9" s="2">
        <v>46064</v>
      </c>
      <c r="O9" s="1" t="s">
        <v>8</v>
      </c>
      <c r="P9" s="3">
        <v>0.32982456140350869</v>
      </c>
      <c r="Q9" s="3"/>
    </row>
    <row r="10" spans="1:17" x14ac:dyDescent="0.3">
      <c r="A10" s="1" t="s">
        <v>5</v>
      </c>
      <c r="B10" s="2">
        <v>46065</v>
      </c>
      <c r="C10" s="1" t="s">
        <v>8</v>
      </c>
      <c r="D10" s="3"/>
      <c r="E10" s="3">
        <v>0.8666666666666667</v>
      </c>
    </row>
    <row r="11" spans="1:17" x14ac:dyDescent="0.3">
      <c r="A11" s="1" t="s">
        <v>5</v>
      </c>
      <c r="B11" s="2">
        <v>46067</v>
      </c>
      <c r="C11" s="1" t="s">
        <v>6</v>
      </c>
      <c r="D11" s="3">
        <v>1</v>
      </c>
      <c r="E11" s="3"/>
    </row>
    <row r="12" spans="1:17" x14ac:dyDescent="0.3">
      <c r="A12" s="1" t="s">
        <v>5</v>
      </c>
      <c r="B12" s="2">
        <v>46067</v>
      </c>
      <c r="C12" s="1" t="s">
        <v>7</v>
      </c>
      <c r="D12" s="3">
        <v>1</v>
      </c>
      <c r="E12" s="3"/>
    </row>
    <row r="13" spans="1:17" x14ac:dyDescent="0.3">
      <c r="A13" s="1" t="s">
        <v>5</v>
      </c>
      <c r="B13" s="2">
        <v>46067</v>
      </c>
      <c r="C13" s="1" t="s">
        <v>8</v>
      </c>
      <c r="D13" s="3">
        <v>0.93333333333333335</v>
      </c>
      <c r="E13" s="3"/>
      <c r="G13" s="1" t="s">
        <v>16</v>
      </c>
      <c r="H13" s="2">
        <v>46062</v>
      </c>
      <c r="I13" s="1" t="s">
        <v>6</v>
      </c>
      <c r="J13" s="5">
        <v>0.4</v>
      </c>
      <c r="K13" s="3"/>
      <c r="M13" s="1" t="s">
        <v>17</v>
      </c>
      <c r="N13" s="2">
        <v>46065</v>
      </c>
      <c r="O13" s="1" t="s">
        <v>6</v>
      </c>
      <c r="P13" s="5">
        <v>0.26666666666666672</v>
      </c>
      <c r="Q13" s="3">
        <v>0.36666666666666659</v>
      </c>
    </row>
    <row r="14" spans="1:17" x14ac:dyDescent="0.3">
      <c r="A14" s="1" t="s">
        <v>9</v>
      </c>
      <c r="B14" s="2">
        <v>46062</v>
      </c>
      <c r="C14" s="1" t="s">
        <v>6</v>
      </c>
      <c r="D14" s="3">
        <v>0.42962962962962958</v>
      </c>
      <c r="E14" s="3">
        <v>0.73333333333333328</v>
      </c>
      <c r="G14" s="1" t="s">
        <v>16</v>
      </c>
      <c r="H14" s="2">
        <v>46062</v>
      </c>
      <c r="I14" s="1" t="s">
        <v>7</v>
      </c>
      <c r="J14" s="5">
        <v>0.33600000000000002</v>
      </c>
      <c r="K14" s="3"/>
      <c r="M14" s="1" t="s">
        <v>17</v>
      </c>
      <c r="N14" s="2">
        <v>46065</v>
      </c>
      <c r="O14" s="1" t="s">
        <v>7</v>
      </c>
      <c r="P14" s="5">
        <v>0.4</v>
      </c>
      <c r="Q14" s="3">
        <v>0.70666666666666667</v>
      </c>
    </row>
    <row r="15" spans="1:17" x14ac:dyDescent="0.3">
      <c r="A15" s="1" t="s">
        <v>9</v>
      </c>
      <c r="B15" s="2">
        <v>46062</v>
      </c>
      <c r="C15" s="1" t="s">
        <v>7</v>
      </c>
      <c r="D15" s="3">
        <v>0.51025641025641022</v>
      </c>
      <c r="E15" s="3">
        <v>0.37777777777777782</v>
      </c>
      <c r="G15" s="1" t="s">
        <v>16</v>
      </c>
      <c r="H15" s="2">
        <v>46062</v>
      </c>
      <c r="I15" s="1" t="s">
        <v>8</v>
      </c>
      <c r="J15" s="5">
        <v>0.38666666666666671</v>
      </c>
      <c r="K15" s="3"/>
      <c r="M15" s="1" t="s">
        <v>17</v>
      </c>
      <c r="N15" s="2">
        <v>46065</v>
      </c>
      <c r="O15" s="1" t="s">
        <v>8</v>
      </c>
      <c r="P15" s="5">
        <v>0.31904761904761908</v>
      </c>
      <c r="Q15" s="3">
        <v>0.37575757575757568</v>
      </c>
    </row>
    <row r="16" spans="1:17" x14ac:dyDescent="0.3">
      <c r="A16" s="1" t="s">
        <v>9</v>
      </c>
      <c r="B16" s="2">
        <v>46062</v>
      </c>
      <c r="C16" s="1" t="s">
        <v>8</v>
      </c>
      <c r="D16" s="3">
        <v>0.6333333333333333</v>
      </c>
      <c r="E16" s="3">
        <v>0.53333333333333333</v>
      </c>
      <c r="G16" s="1" t="s">
        <v>16</v>
      </c>
      <c r="H16" s="2">
        <v>46065</v>
      </c>
      <c r="I16" s="1" t="s">
        <v>6</v>
      </c>
      <c r="J16" s="3">
        <v>0.36296296296296288</v>
      </c>
      <c r="K16" s="3"/>
      <c r="M16" s="1" t="s">
        <v>17</v>
      </c>
      <c r="N16" s="2">
        <v>46066</v>
      </c>
      <c r="O16" s="1" t="s">
        <v>6</v>
      </c>
      <c r="P16" s="3">
        <v>0.38095238095238088</v>
      </c>
      <c r="Q16" s="3">
        <v>0.54358974358974355</v>
      </c>
    </row>
    <row r="17" spans="1:17" x14ac:dyDescent="0.3">
      <c r="A17" s="1" t="s">
        <v>9</v>
      </c>
      <c r="B17" s="2">
        <v>46063</v>
      </c>
      <c r="C17" s="1" t="s">
        <v>6</v>
      </c>
      <c r="D17" s="3">
        <v>0.62631578947368427</v>
      </c>
      <c r="E17" s="3"/>
      <c r="G17" s="1" t="s">
        <v>16</v>
      </c>
      <c r="H17" s="2">
        <v>46065</v>
      </c>
      <c r="I17" s="1" t="s">
        <v>7</v>
      </c>
      <c r="J17" s="3">
        <v>0.31851851851851848</v>
      </c>
      <c r="K17" s="3"/>
      <c r="M17" s="1" t="s">
        <v>17</v>
      </c>
      <c r="N17" s="2">
        <v>46066</v>
      </c>
      <c r="O17" s="1" t="s">
        <v>7</v>
      </c>
      <c r="P17" s="3">
        <v>0.72380952380952379</v>
      </c>
      <c r="Q17" s="3">
        <v>0.6974358974358974</v>
      </c>
    </row>
    <row r="18" spans="1:17" x14ac:dyDescent="0.3">
      <c r="A18" s="1" t="s">
        <v>9</v>
      </c>
      <c r="B18" s="2">
        <v>46063</v>
      </c>
      <c r="C18" s="1" t="s">
        <v>7</v>
      </c>
      <c r="D18" s="3">
        <v>0.6333333333333333</v>
      </c>
      <c r="E18" s="3"/>
      <c r="G18" s="1" t="s">
        <v>16</v>
      </c>
      <c r="H18" s="2">
        <v>46065</v>
      </c>
      <c r="I18" s="1" t="s">
        <v>8</v>
      </c>
      <c r="J18" s="3">
        <v>0.28888888888888892</v>
      </c>
      <c r="K18" s="3"/>
      <c r="M18" s="1" t="s">
        <v>17</v>
      </c>
      <c r="N18" s="2">
        <v>46066</v>
      </c>
      <c r="O18" s="1" t="s">
        <v>8</v>
      </c>
      <c r="P18" s="3">
        <v>0.37619047619047619</v>
      </c>
      <c r="Q18" s="3">
        <v>0.31282051282051282</v>
      </c>
    </row>
    <row r="19" spans="1:17" x14ac:dyDescent="0.3">
      <c r="A19" s="1" t="s">
        <v>9</v>
      </c>
      <c r="B19" s="2">
        <v>46063</v>
      </c>
      <c r="C19" s="1" t="s">
        <v>8</v>
      </c>
      <c r="D19" s="3">
        <v>0.74561403508771928</v>
      </c>
      <c r="E19" s="3"/>
      <c r="M19" s="1" t="s">
        <v>17</v>
      </c>
      <c r="N19" s="2">
        <v>46067</v>
      </c>
      <c r="O19" s="1" t="s">
        <v>6</v>
      </c>
      <c r="P19" s="3">
        <v>0.68571428571428572</v>
      </c>
      <c r="Q19" s="3"/>
    </row>
    <row r="20" spans="1:17" x14ac:dyDescent="0.3">
      <c r="A20" s="1" t="s">
        <v>9</v>
      </c>
      <c r="B20" s="2">
        <v>46065</v>
      </c>
      <c r="C20" s="1" t="s">
        <v>6</v>
      </c>
      <c r="D20" s="3">
        <v>0.66666666666666663</v>
      </c>
      <c r="E20" s="3"/>
      <c r="M20" s="1" t="s">
        <v>17</v>
      </c>
      <c r="N20" s="2">
        <v>46067</v>
      </c>
      <c r="O20" s="1" t="s">
        <v>7</v>
      </c>
      <c r="P20" s="3">
        <v>0.86666666666666659</v>
      </c>
      <c r="Q20" s="3"/>
    </row>
    <row r="21" spans="1:17" x14ac:dyDescent="0.3">
      <c r="A21" s="1" t="s">
        <v>9</v>
      </c>
      <c r="B21" s="2">
        <v>46065</v>
      </c>
      <c r="C21" s="1" t="s">
        <v>7</v>
      </c>
      <c r="D21" s="3"/>
      <c r="E21" s="3">
        <v>0.8</v>
      </c>
      <c r="M21" s="1" t="s">
        <v>17</v>
      </c>
      <c r="N21" s="2">
        <v>46067</v>
      </c>
      <c r="O21" s="1" t="s">
        <v>8</v>
      </c>
      <c r="P21" s="3">
        <v>0.73333333333333339</v>
      </c>
      <c r="Q21" s="3"/>
    </row>
    <row r="22" spans="1:17" x14ac:dyDescent="0.3">
      <c r="A22" s="1" t="s">
        <v>9</v>
      </c>
      <c r="B22" s="2">
        <v>46065</v>
      </c>
      <c r="C22" s="1" t="s">
        <v>8</v>
      </c>
      <c r="D22" s="3"/>
      <c r="E22" s="3">
        <v>1</v>
      </c>
    </row>
    <row r="23" spans="1:17" x14ac:dyDescent="0.3">
      <c r="A23" s="1" t="s">
        <v>9</v>
      </c>
      <c r="B23" s="2">
        <v>46066</v>
      </c>
      <c r="C23" s="1" t="s">
        <v>6</v>
      </c>
      <c r="D23" s="3">
        <v>0.73333333333333339</v>
      </c>
      <c r="E23" s="3"/>
    </row>
    <row r="24" spans="1:17" x14ac:dyDescent="0.3">
      <c r="A24" s="1" t="s">
        <v>9</v>
      </c>
      <c r="B24" s="2">
        <v>46066</v>
      </c>
      <c r="C24" s="1" t="s">
        <v>7</v>
      </c>
      <c r="D24" s="3">
        <v>0.8222222222222223</v>
      </c>
      <c r="E24" s="3"/>
    </row>
    <row r="25" spans="1:17" x14ac:dyDescent="0.3">
      <c r="A25" s="1" t="s">
        <v>9</v>
      </c>
      <c r="B25" s="2">
        <v>46066</v>
      </c>
      <c r="C25" s="1" t="s">
        <v>8</v>
      </c>
      <c r="D25" s="3">
        <v>0.79999999999999993</v>
      </c>
      <c r="E25" s="3"/>
    </row>
    <row r="26" spans="1:17" x14ac:dyDescent="0.3">
      <c r="A26" s="1" t="s">
        <v>9</v>
      </c>
      <c r="B26" s="2">
        <v>46067</v>
      </c>
      <c r="C26" s="1" t="s">
        <v>6</v>
      </c>
      <c r="D26" s="3">
        <v>0.77037037037037037</v>
      </c>
      <c r="E26" s="3">
        <v>0.8666666666666667</v>
      </c>
      <c r="G26" s="1" t="s">
        <v>13</v>
      </c>
      <c r="H26" s="1" t="s">
        <v>240</v>
      </c>
      <c r="I26" s="1" t="s">
        <v>239</v>
      </c>
      <c r="K26" s="1" t="s">
        <v>14</v>
      </c>
      <c r="L26" s="1" t="s">
        <v>238</v>
      </c>
      <c r="M26" s="1" t="s">
        <v>239</v>
      </c>
    </row>
    <row r="27" spans="1:17" x14ac:dyDescent="0.3">
      <c r="A27" s="1" t="s">
        <v>9</v>
      </c>
      <c r="B27" s="2">
        <v>46067</v>
      </c>
      <c r="C27" s="1" t="s">
        <v>7</v>
      </c>
      <c r="D27" s="3">
        <v>0.81481481481481488</v>
      </c>
      <c r="E27" s="3">
        <v>0.8666666666666667</v>
      </c>
      <c r="G27" s="1" t="s">
        <v>6</v>
      </c>
      <c r="H27" s="3">
        <f>39/100</f>
        <v>0.39</v>
      </c>
      <c r="I27" s="3">
        <f>38/100</f>
        <v>0.38</v>
      </c>
      <c r="K27" s="1" t="s">
        <v>6</v>
      </c>
      <c r="L27" s="34">
        <v>0.48266666666666658</v>
      </c>
      <c r="M27" s="3">
        <f>AVERAGE(P1,P7,Q4)</f>
        <v>0.3262020792722547</v>
      </c>
    </row>
    <row r="28" spans="1:17" x14ac:dyDescent="0.3">
      <c r="A28" s="1" t="s">
        <v>9</v>
      </c>
      <c r="B28" s="2">
        <v>46067</v>
      </c>
      <c r="C28" s="1" t="s">
        <v>8</v>
      </c>
      <c r="D28" s="3">
        <v>0.72380952380952379</v>
      </c>
      <c r="E28" s="3">
        <v>0.93333333333333324</v>
      </c>
      <c r="G28" s="1" t="s">
        <v>7</v>
      </c>
      <c r="H28" s="3">
        <f>33/100</f>
        <v>0.33</v>
      </c>
      <c r="I28" s="36">
        <f>45/100</f>
        <v>0.45</v>
      </c>
      <c r="K28" s="1" t="s">
        <v>7</v>
      </c>
      <c r="L28" s="34">
        <v>0.65333333333333332</v>
      </c>
      <c r="M28" s="3">
        <f>AVERAGE(P2,P8,Q5)</f>
        <v>0.50576673164392461</v>
      </c>
    </row>
    <row r="29" spans="1:17" x14ac:dyDescent="0.3">
      <c r="A29" s="1" t="s">
        <v>10</v>
      </c>
      <c r="B29" s="2">
        <v>46062</v>
      </c>
      <c r="C29" s="1" t="s">
        <v>6</v>
      </c>
      <c r="D29" s="3">
        <v>0.68888888888888888</v>
      </c>
      <c r="E29" s="3">
        <v>0.71111111111111103</v>
      </c>
      <c r="G29" s="1" t="s">
        <v>8</v>
      </c>
      <c r="H29" s="3">
        <f>44/100</f>
        <v>0.44</v>
      </c>
      <c r="I29" s="36">
        <f>65/100</f>
        <v>0.65</v>
      </c>
      <c r="K29" s="1" t="s">
        <v>8</v>
      </c>
      <c r="L29" s="34">
        <v>0.47199999999999998</v>
      </c>
      <c r="M29" s="3">
        <f>AVERAGE(P3,P9,Q6)</f>
        <v>0.41364522417153998</v>
      </c>
    </row>
    <row r="30" spans="1:17" x14ac:dyDescent="0.3">
      <c r="A30" s="1" t="s">
        <v>10</v>
      </c>
      <c r="B30" s="2">
        <v>46062</v>
      </c>
      <c r="C30" s="1" t="s">
        <v>7</v>
      </c>
      <c r="D30" s="3">
        <v>0.88888888888888884</v>
      </c>
      <c r="E30" s="3">
        <v>0.89999999999999991</v>
      </c>
    </row>
    <row r="31" spans="1:17" x14ac:dyDescent="0.3">
      <c r="A31" s="1" t="s">
        <v>10</v>
      </c>
      <c r="B31" s="2">
        <v>46062</v>
      </c>
      <c r="C31" s="1" t="s">
        <v>8</v>
      </c>
      <c r="D31" s="3">
        <v>0.84444444444444444</v>
      </c>
      <c r="E31" s="3">
        <v>0.98888888888888893</v>
      </c>
    </row>
    <row r="32" spans="1:17" x14ac:dyDescent="0.3">
      <c r="A32" s="1" t="s">
        <v>10</v>
      </c>
      <c r="B32" s="2">
        <v>46063</v>
      </c>
      <c r="C32" s="1" t="s">
        <v>6</v>
      </c>
      <c r="D32" s="3">
        <v>0.59869281045751632</v>
      </c>
      <c r="E32" s="3">
        <v>0.26666666666666672</v>
      </c>
      <c r="G32" s="1" t="s">
        <v>16</v>
      </c>
      <c r="H32" s="1" t="s">
        <v>238</v>
      </c>
      <c r="I32" s="1" t="s">
        <v>239</v>
      </c>
      <c r="K32" s="1" t="s">
        <v>17</v>
      </c>
      <c r="L32" s="1" t="s">
        <v>238</v>
      </c>
      <c r="M32" s="1" t="s">
        <v>239</v>
      </c>
    </row>
    <row r="33" spans="1:13" x14ac:dyDescent="0.3">
      <c r="A33" s="1" t="s">
        <v>10</v>
      </c>
      <c r="B33" s="2">
        <v>46063</v>
      </c>
      <c r="C33" s="1" t="s">
        <v>7</v>
      </c>
      <c r="D33" s="3">
        <v>0.86797385620915035</v>
      </c>
      <c r="E33" s="3">
        <v>0</v>
      </c>
      <c r="G33" s="1" t="s">
        <v>6</v>
      </c>
      <c r="H33" s="34">
        <v>0.4</v>
      </c>
      <c r="I33" s="3">
        <v>0.36296296296296288</v>
      </c>
      <c r="K33" s="1" t="s">
        <v>6</v>
      </c>
      <c r="L33" s="34">
        <v>0.26666666666666672</v>
      </c>
      <c r="M33" s="35">
        <f>AVERAGE(Q13,P16,Q16,P19)</f>
        <v>0.4942307692307692</v>
      </c>
    </row>
    <row r="34" spans="1:13" x14ac:dyDescent="0.3">
      <c r="A34" s="1" t="s">
        <v>10</v>
      </c>
      <c r="B34" s="2">
        <v>46063</v>
      </c>
      <c r="C34" s="1" t="s">
        <v>8</v>
      </c>
      <c r="D34" s="3">
        <v>0.91703703703703698</v>
      </c>
      <c r="E34" s="3">
        <v>0.76190476190476186</v>
      </c>
      <c r="G34" s="1" t="s">
        <v>7</v>
      </c>
      <c r="H34" s="34">
        <v>0.33600000000000002</v>
      </c>
      <c r="I34" s="3">
        <v>0.31851851851851848</v>
      </c>
      <c r="K34" s="1" t="s">
        <v>7</v>
      </c>
      <c r="L34" s="34">
        <v>0.4</v>
      </c>
      <c r="M34" s="35">
        <f>AVERAGE(Q14,P17,Q17,P20)</f>
        <v>0.74864468864468858</v>
      </c>
    </row>
    <row r="35" spans="1:13" x14ac:dyDescent="0.3">
      <c r="A35" s="1" t="s">
        <v>10</v>
      </c>
      <c r="B35" s="2">
        <v>46064</v>
      </c>
      <c r="C35" s="1" t="s">
        <v>6</v>
      </c>
      <c r="D35" s="3">
        <v>0.61333333333333329</v>
      </c>
      <c r="E35" s="3"/>
      <c r="G35" s="1" t="s">
        <v>8</v>
      </c>
      <c r="H35" s="34">
        <v>0.38666666666666671</v>
      </c>
      <c r="I35" s="3">
        <v>0.28888888888888892</v>
      </c>
      <c r="K35" s="1" t="s">
        <v>8</v>
      </c>
      <c r="L35" s="34">
        <v>0.31904761904761908</v>
      </c>
      <c r="M35" s="35">
        <f>AVERAGE(Q15,P18,Q18,P21)</f>
        <v>0.44952547452547453</v>
      </c>
    </row>
    <row r="36" spans="1:13" x14ac:dyDescent="0.3">
      <c r="A36" s="1" t="s">
        <v>10</v>
      </c>
      <c r="B36" s="2">
        <v>46064</v>
      </c>
      <c r="C36" s="1" t="s">
        <v>7</v>
      </c>
      <c r="D36" s="3">
        <v>0.89333333333333331</v>
      </c>
      <c r="E36" s="3"/>
    </row>
    <row r="37" spans="1:13" x14ac:dyDescent="0.3">
      <c r="A37" s="1" t="s">
        <v>10</v>
      </c>
      <c r="B37" s="2">
        <v>46064</v>
      </c>
      <c r="C37" s="1" t="s">
        <v>8</v>
      </c>
      <c r="D37" s="3">
        <v>0.94666666666666666</v>
      </c>
      <c r="E37" s="3"/>
    </row>
    <row r="38" spans="1:13" x14ac:dyDescent="0.3">
      <c r="A38" s="1" t="s">
        <v>11</v>
      </c>
      <c r="B38" s="2">
        <v>46064</v>
      </c>
      <c r="C38" s="1" t="s">
        <v>6</v>
      </c>
      <c r="D38" s="3">
        <v>0.30909090909090908</v>
      </c>
      <c r="E38" s="3"/>
    </row>
    <row r="39" spans="1:13" x14ac:dyDescent="0.3">
      <c r="A39" s="1" t="s">
        <v>11</v>
      </c>
      <c r="B39" s="2">
        <v>46064</v>
      </c>
      <c r="C39" s="1" t="s">
        <v>7</v>
      </c>
      <c r="D39" s="3">
        <v>0.38181818181818178</v>
      </c>
      <c r="E39" s="3"/>
    </row>
    <row r="40" spans="1:13" x14ac:dyDescent="0.3">
      <c r="A40" s="1" t="s">
        <v>11</v>
      </c>
      <c r="B40" s="2">
        <v>46064</v>
      </c>
      <c r="C40" s="1" t="s">
        <v>8</v>
      </c>
      <c r="D40" s="3">
        <v>0.46666666666666667</v>
      </c>
      <c r="E40" s="3">
        <v>0.3925925925925926</v>
      </c>
    </row>
    <row r="41" spans="1:13" x14ac:dyDescent="0.3">
      <c r="A41" s="1" t="s">
        <v>11</v>
      </c>
      <c r="B41" s="2">
        <v>46065</v>
      </c>
      <c r="C41" s="1" t="s">
        <v>6</v>
      </c>
      <c r="D41" s="3">
        <v>0.50427350427350426</v>
      </c>
      <c r="E41" s="3">
        <v>0.42424242424242431</v>
      </c>
    </row>
    <row r="42" spans="1:13" x14ac:dyDescent="0.3">
      <c r="A42" s="1" t="s">
        <v>11</v>
      </c>
      <c r="B42" s="2">
        <v>46065</v>
      </c>
      <c r="C42" s="1" t="s">
        <v>7</v>
      </c>
      <c r="D42" s="3">
        <v>0.8273504273504273</v>
      </c>
      <c r="E42" s="3">
        <v>0.67575757575757578</v>
      </c>
    </row>
    <row r="43" spans="1:13" x14ac:dyDescent="0.3">
      <c r="A43" s="1" t="s">
        <v>11</v>
      </c>
      <c r="B43" s="2">
        <v>46065</v>
      </c>
      <c r="C43" s="1" t="s">
        <v>8</v>
      </c>
      <c r="D43" s="3">
        <v>0.83232323232323235</v>
      </c>
      <c r="E43" s="3">
        <v>0.75238095238095237</v>
      </c>
    </row>
    <row r="44" spans="1:13" x14ac:dyDescent="0.3">
      <c r="A44" s="1" t="s">
        <v>12</v>
      </c>
      <c r="B44" s="2">
        <v>46062</v>
      </c>
      <c r="C44" s="1" t="s">
        <v>6</v>
      </c>
      <c r="D44" s="3">
        <v>0.35438596491228069</v>
      </c>
      <c r="E44" s="3">
        <v>0.35238095238095241</v>
      </c>
    </row>
    <row r="45" spans="1:13" x14ac:dyDescent="0.3">
      <c r="A45" s="1" t="s">
        <v>12</v>
      </c>
      <c r="B45" s="2">
        <v>46062</v>
      </c>
      <c r="C45" s="1" t="s">
        <v>7</v>
      </c>
      <c r="D45" s="3">
        <v>0.33157894736842097</v>
      </c>
      <c r="E45" s="3">
        <v>0.32380952380952382</v>
      </c>
    </row>
    <row r="46" spans="1:13" x14ac:dyDescent="0.3">
      <c r="A46" s="1" t="s">
        <v>12</v>
      </c>
      <c r="B46" s="2">
        <v>46062</v>
      </c>
      <c r="C46" s="1" t="s">
        <v>8</v>
      </c>
      <c r="D46" s="3">
        <v>0.48421052631578942</v>
      </c>
      <c r="E46" s="3">
        <v>0.41269841269841268</v>
      </c>
    </row>
    <row r="47" spans="1:13" x14ac:dyDescent="0.3">
      <c r="A47" s="1" t="s">
        <v>12</v>
      </c>
      <c r="B47" s="2">
        <v>46065</v>
      </c>
      <c r="C47" s="1" t="s">
        <v>6</v>
      </c>
      <c r="D47" s="3">
        <v>0.3487179487179487</v>
      </c>
      <c r="E47" s="3">
        <v>0.33333333333333331</v>
      </c>
    </row>
    <row r="48" spans="1:13" x14ac:dyDescent="0.3">
      <c r="A48" s="1" t="s">
        <v>12</v>
      </c>
      <c r="B48" s="2">
        <v>46065</v>
      </c>
      <c r="C48" s="1" t="s">
        <v>7</v>
      </c>
      <c r="D48" s="3">
        <v>0.29743589743589738</v>
      </c>
      <c r="E48" s="3">
        <v>0.31111111111111112</v>
      </c>
    </row>
    <row r="49" spans="1:5" x14ac:dyDescent="0.3">
      <c r="A49" s="1" t="s">
        <v>12</v>
      </c>
      <c r="B49" s="2">
        <v>46065</v>
      </c>
      <c r="C49" s="1" t="s">
        <v>8</v>
      </c>
      <c r="D49" s="3">
        <v>0.43888888888888888</v>
      </c>
      <c r="E49" s="3">
        <v>0.7</v>
      </c>
    </row>
    <row r="50" spans="1:5" x14ac:dyDescent="0.3">
      <c r="A50" s="1" t="s">
        <v>13</v>
      </c>
      <c r="B50" s="2">
        <v>46063</v>
      </c>
      <c r="C50" s="1" t="s">
        <v>6</v>
      </c>
      <c r="D50" s="5">
        <v>0.39384615384615379</v>
      </c>
      <c r="E50" s="6"/>
    </row>
    <row r="51" spans="1:5" x14ac:dyDescent="0.3">
      <c r="A51" s="1" t="s">
        <v>13</v>
      </c>
      <c r="B51" s="2">
        <v>46063</v>
      </c>
      <c r="C51" s="1" t="s">
        <v>7</v>
      </c>
      <c r="D51" s="5">
        <v>0.37380952380952381</v>
      </c>
      <c r="E51" s="5">
        <v>0.28888888888888892</v>
      </c>
    </row>
    <row r="52" spans="1:5" x14ac:dyDescent="0.3">
      <c r="A52" s="1" t="s">
        <v>13</v>
      </c>
      <c r="B52" s="2">
        <v>46063</v>
      </c>
      <c r="C52" s="1" t="s">
        <v>8</v>
      </c>
      <c r="D52" s="5">
        <v>0.47943262411347509</v>
      </c>
      <c r="E52" s="5">
        <v>0.40740740740740738</v>
      </c>
    </row>
    <row r="53" spans="1:5" x14ac:dyDescent="0.3">
      <c r="A53" s="1" t="s">
        <v>13</v>
      </c>
      <c r="B53" s="2">
        <v>46066</v>
      </c>
      <c r="C53" s="1" t="s">
        <v>6</v>
      </c>
      <c r="D53" s="3"/>
      <c r="E53" s="3">
        <v>0.37666666666666659</v>
      </c>
    </row>
    <row r="54" spans="1:5" x14ac:dyDescent="0.3">
      <c r="A54" s="1" t="s">
        <v>13</v>
      </c>
      <c r="B54" s="2">
        <v>46066</v>
      </c>
      <c r="C54" s="1" t="s">
        <v>7</v>
      </c>
      <c r="D54" s="3"/>
      <c r="E54" s="3">
        <v>0.45</v>
      </c>
    </row>
    <row r="55" spans="1:5" x14ac:dyDescent="0.3">
      <c r="A55" s="1" t="s">
        <v>13</v>
      </c>
      <c r="B55" s="2">
        <v>46066</v>
      </c>
      <c r="C55" s="1" t="s">
        <v>8</v>
      </c>
      <c r="D55" s="3"/>
      <c r="E55" s="3">
        <v>0.65</v>
      </c>
    </row>
    <row r="56" spans="1:5" x14ac:dyDescent="0.3">
      <c r="A56" s="1" t="s">
        <v>14</v>
      </c>
      <c r="B56" s="2">
        <v>46062</v>
      </c>
      <c r="C56" s="1" t="s">
        <v>6</v>
      </c>
      <c r="D56" s="3">
        <v>0.32500000000000001</v>
      </c>
      <c r="E56" s="5">
        <v>0.48266666666666658</v>
      </c>
    </row>
    <row r="57" spans="1:5" x14ac:dyDescent="0.3">
      <c r="A57" s="1" t="s">
        <v>14</v>
      </c>
      <c r="B57" s="2">
        <v>46062</v>
      </c>
      <c r="C57" s="1" t="s">
        <v>7</v>
      </c>
      <c r="D57" s="3">
        <v>0.64166666666666661</v>
      </c>
      <c r="E57" s="5">
        <v>0.65333333333333332</v>
      </c>
    </row>
    <row r="58" spans="1:5" x14ac:dyDescent="0.3">
      <c r="A58" s="1" t="s">
        <v>14</v>
      </c>
      <c r="B58" s="2">
        <v>46062</v>
      </c>
      <c r="C58" s="1" t="s">
        <v>8</v>
      </c>
      <c r="D58" s="3">
        <v>0.6</v>
      </c>
      <c r="E58" s="5">
        <v>0.47199999999999998</v>
      </c>
    </row>
    <row r="59" spans="1:5" x14ac:dyDescent="0.3">
      <c r="A59" s="1" t="s">
        <v>14</v>
      </c>
      <c r="B59" s="2">
        <v>46063</v>
      </c>
      <c r="C59" s="1" t="s">
        <v>6</v>
      </c>
      <c r="D59" s="3"/>
      <c r="E59" s="3">
        <v>0.35185185185185192</v>
      </c>
    </row>
    <row r="60" spans="1:5" x14ac:dyDescent="0.3">
      <c r="A60" s="1" t="s">
        <v>14</v>
      </c>
      <c r="B60" s="2">
        <v>46063</v>
      </c>
      <c r="C60" s="1" t="s">
        <v>7</v>
      </c>
      <c r="D60" s="3"/>
      <c r="E60" s="3">
        <v>0.50370370370370365</v>
      </c>
    </row>
    <row r="61" spans="1:5" x14ac:dyDescent="0.3">
      <c r="A61" s="1" t="s">
        <v>14</v>
      </c>
      <c r="B61" s="2">
        <v>46063</v>
      </c>
      <c r="C61" s="1" t="s">
        <v>8</v>
      </c>
      <c r="D61" s="3"/>
      <c r="E61" s="3">
        <v>0.31111111111111112</v>
      </c>
    </row>
    <row r="62" spans="1:5" x14ac:dyDescent="0.3">
      <c r="A62" s="1" t="s">
        <v>14</v>
      </c>
      <c r="B62" s="2">
        <v>46064</v>
      </c>
      <c r="C62" s="1" t="s">
        <v>6</v>
      </c>
      <c r="D62" s="3">
        <v>0.30175438596491228</v>
      </c>
      <c r="E62" s="3"/>
    </row>
    <row r="63" spans="1:5" x14ac:dyDescent="0.3">
      <c r="A63" s="1" t="s">
        <v>14</v>
      </c>
      <c r="B63" s="2">
        <v>46064</v>
      </c>
      <c r="C63" s="1" t="s">
        <v>7</v>
      </c>
      <c r="D63" s="3">
        <v>0.3719298245614035</v>
      </c>
      <c r="E63" s="3"/>
    </row>
    <row r="64" spans="1:5" x14ac:dyDescent="0.3">
      <c r="A64" s="1" t="s">
        <v>14</v>
      </c>
      <c r="B64" s="2">
        <v>46064</v>
      </c>
      <c r="C64" s="1" t="s">
        <v>8</v>
      </c>
      <c r="D64" s="3">
        <v>0.32982456140350869</v>
      </c>
      <c r="E64" s="3"/>
    </row>
    <row r="65" spans="1:9" x14ac:dyDescent="0.3">
      <c r="A65" s="1" t="s">
        <v>15</v>
      </c>
      <c r="B65" s="2">
        <v>46062</v>
      </c>
      <c r="C65" s="1" t="s">
        <v>6</v>
      </c>
      <c r="D65" s="3">
        <v>0.50952380952380949</v>
      </c>
      <c r="E65" s="3">
        <v>0.47234042553191491</v>
      </c>
    </row>
    <row r="66" spans="1:9" x14ac:dyDescent="0.3">
      <c r="A66" s="1" t="s">
        <v>15</v>
      </c>
      <c r="B66" s="2">
        <v>46062</v>
      </c>
      <c r="C66" s="1" t="s">
        <v>7</v>
      </c>
      <c r="D66" s="3">
        <v>0.57619047619047614</v>
      </c>
      <c r="E66" s="3">
        <v>0.5787234042553191</v>
      </c>
    </row>
    <row r="67" spans="1:9" x14ac:dyDescent="0.3">
      <c r="A67" s="1" t="s">
        <v>15</v>
      </c>
      <c r="B67" s="2">
        <v>46062</v>
      </c>
      <c r="C67" s="1" t="s">
        <v>8</v>
      </c>
      <c r="D67" s="3">
        <v>0.75555555555555554</v>
      </c>
      <c r="E67" s="3">
        <v>0.67320261437908502</v>
      </c>
    </row>
    <row r="68" spans="1:9" x14ac:dyDescent="0.3">
      <c r="A68" s="1" t="s">
        <v>15</v>
      </c>
      <c r="B68" s="2">
        <v>46063</v>
      </c>
      <c r="C68" s="1" t="s">
        <v>6</v>
      </c>
      <c r="D68" s="3">
        <v>0.53333333333333333</v>
      </c>
      <c r="E68" s="3"/>
    </row>
    <row r="69" spans="1:9" x14ac:dyDescent="0.3">
      <c r="A69" s="1" t="s">
        <v>15</v>
      </c>
      <c r="B69" s="2">
        <v>46063</v>
      </c>
      <c r="C69" s="1" t="s">
        <v>7</v>
      </c>
      <c r="D69" s="3">
        <v>0.53333333333333333</v>
      </c>
      <c r="E69" s="3"/>
    </row>
    <row r="70" spans="1:9" x14ac:dyDescent="0.3">
      <c r="A70" s="1" t="s">
        <v>15</v>
      </c>
      <c r="B70" s="2">
        <v>46063</v>
      </c>
      <c r="C70" s="1" t="s">
        <v>8</v>
      </c>
      <c r="D70" s="3">
        <v>0.46666666666666667</v>
      </c>
      <c r="E70" s="3"/>
    </row>
    <row r="71" spans="1:9" x14ac:dyDescent="0.3">
      <c r="A71" s="1" t="s">
        <v>15</v>
      </c>
      <c r="B71" s="2">
        <v>46066</v>
      </c>
      <c r="C71" s="1" t="s">
        <v>6</v>
      </c>
      <c r="D71" s="3">
        <v>0.46666666666666667</v>
      </c>
      <c r="E71" s="3"/>
    </row>
    <row r="72" spans="1:9" x14ac:dyDescent="0.3">
      <c r="A72" s="1" t="s">
        <v>15</v>
      </c>
      <c r="B72" s="2">
        <v>46066</v>
      </c>
      <c r="C72" s="1" t="s">
        <v>7</v>
      </c>
      <c r="D72" s="3">
        <v>0.53333333333333333</v>
      </c>
      <c r="E72" s="3"/>
    </row>
    <row r="73" spans="1:9" x14ac:dyDescent="0.3">
      <c r="A73" s="1" t="s">
        <v>15</v>
      </c>
      <c r="B73" s="2">
        <v>46066</v>
      </c>
      <c r="C73" s="1" t="s">
        <v>8</v>
      </c>
      <c r="D73" s="3">
        <v>0.93333333333333335</v>
      </c>
      <c r="E73" s="3"/>
    </row>
    <row r="74" spans="1:9" x14ac:dyDescent="0.3">
      <c r="A74" s="1" t="s">
        <v>15</v>
      </c>
      <c r="B74" s="2">
        <v>46067</v>
      </c>
      <c r="C74" s="1" t="s">
        <v>6</v>
      </c>
      <c r="D74" s="3">
        <v>0.42222222222222222</v>
      </c>
      <c r="E74" s="3"/>
    </row>
    <row r="75" spans="1:9" x14ac:dyDescent="0.3">
      <c r="A75" s="1" t="s">
        <v>15</v>
      </c>
      <c r="B75" s="2">
        <v>46067</v>
      </c>
      <c r="C75" s="1" t="s">
        <v>7</v>
      </c>
      <c r="D75" s="3">
        <v>0.64444444444444449</v>
      </c>
      <c r="E75" s="3"/>
    </row>
    <row r="76" spans="1:9" x14ac:dyDescent="0.3">
      <c r="A76" s="1" t="s">
        <v>15</v>
      </c>
      <c r="B76" s="2">
        <v>46067</v>
      </c>
      <c r="C76" s="1" t="s">
        <v>8</v>
      </c>
      <c r="D76" s="3">
        <v>0.62222222222222223</v>
      </c>
      <c r="E76" s="3"/>
    </row>
    <row r="77" spans="1:9" x14ac:dyDescent="0.3">
      <c r="A77" s="1" t="s">
        <v>16</v>
      </c>
      <c r="B77" s="2">
        <v>46062</v>
      </c>
      <c r="C77" s="1" t="s">
        <v>6</v>
      </c>
      <c r="D77" s="5">
        <v>0.4</v>
      </c>
      <c r="E77" s="3"/>
    </row>
    <row r="78" spans="1:9" x14ac:dyDescent="0.3">
      <c r="A78" s="1" t="s">
        <v>16</v>
      </c>
      <c r="B78" s="2">
        <v>46062</v>
      </c>
      <c r="C78" s="1" t="s">
        <v>7</v>
      </c>
      <c r="D78" s="5">
        <v>0.33600000000000002</v>
      </c>
      <c r="E78" s="3"/>
      <c r="H78" s="8">
        <v>0.37</v>
      </c>
      <c r="I78" s="8">
        <v>0.32</v>
      </c>
    </row>
    <row r="79" spans="1:9" x14ac:dyDescent="0.3">
      <c r="A79" s="1" t="s">
        <v>16</v>
      </c>
      <c r="B79" s="2">
        <v>46062</v>
      </c>
      <c r="C79" s="1" t="s">
        <v>8</v>
      </c>
      <c r="D79" s="5">
        <v>0.38666666666666671</v>
      </c>
      <c r="E79" s="3"/>
    </row>
    <row r="80" spans="1:9" x14ac:dyDescent="0.3">
      <c r="A80" s="1" t="s">
        <v>16</v>
      </c>
      <c r="B80" s="2">
        <v>46065</v>
      </c>
      <c r="C80" s="1" t="s">
        <v>6</v>
      </c>
      <c r="D80" s="3">
        <v>0.36296296296296288</v>
      </c>
      <c r="E80" s="3"/>
    </row>
    <row r="81" spans="1:5" x14ac:dyDescent="0.3">
      <c r="A81" s="1" t="s">
        <v>16</v>
      </c>
      <c r="B81" s="2">
        <v>46065</v>
      </c>
      <c r="C81" s="1" t="s">
        <v>7</v>
      </c>
      <c r="D81" s="3">
        <v>0.31851851851851848</v>
      </c>
      <c r="E81" s="3"/>
    </row>
    <row r="82" spans="1:5" x14ac:dyDescent="0.3">
      <c r="A82" s="1" t="s">
        <v>16</v>
      </c>
      <c r="B82" s="2">
        <v>46065</v>
      </c>
      <c r="C82" s="1" t="s">
        <v>8</v>
      </c>
      <c r="D82" s="3">
        <v>0.28888888888888892</v>
      </c>
      <c r="E82" s="3"/>
    </row>
    <row r="83" spans="1:5" x14ac:dyDescent="0.3">
      <c r="A83" s="1" t="s">
        <v>17</v>
      </c>
      <c r="B83" s="2">
        <v>46065</v>
      </c>
      <c r="C83" s="1" t="s">
        <v>6</v>
      </c>
      <c r="D83" s="5">
        <v>0.26666666666666672</v>
      </c>
      <c r="E83" s="3">
        <v>0.36666666666666659</v>
      </c>
    </row>
    <row r="84" spans="1:5" x14ac:dyDescent="0.3">
      <c r="A84" s="1" t="s">
        <v>17</v>
      </c>
      <c r="B84" s="2">
        <v>46065</v>
      </c>
      <c r="C84" s="1" t="s">
        <v>7</v>
      </c>
      <c r="D84" s="5">
        <v>0.4</v>
      </c>
      <c r="E84" s="3">
        <v>0.70666666666666667</v>
      </c>
    </row>
    <row r="85" spans="1:5" x14ac:dyDescent="0.3">
      <c r="A85" s="1" t="s">
        <v>17</v>
      </c>
      <c r="B85" s="2">
        <v>46065</v>
      </c>
      <c r="C85" s="1" t="s">
        <v>8</v>
      </c>
      <c r="D85" s="5">
        <v>0.31904761904761908</v>
      </c>
      <c r="E85" s="3">
        <v>0.37575757575757568</v>
      </c>
    </row>
    <row r="86" spans="1:5" x14ac:dyDescent="0.3">
      <c r="A86" s="1" t="s">
        <v>17</v>
      </c>
      <c r="B86" s="2">
        <v>46066</v>
      </c>
      <c r="C86" s="1" t="s">
        <v>6</v>
      </c>
      <c r="D86" s="3">
        <v>0.38095238095238088</v>
      </c>
      <c r="E86" s="3">
        <v>0.54358974358974355</v>
      </c>
    </row>
    <row r="87" spans="1:5" x14ac:dyDescent="0.3">
      <c r="A87" s="1" t="s">
        <v>17</v>
      </c>
      <c r="B87" s="2">
        <v>46066</v>
      </c>
      <c r="C87" s="1" t="s">
        <v>7</v>
      </c>
      <c r="D87" s="3">
        <v>0.72380952380952379</v>
      </c>
      <c r="E87" s="3">
        <v>0.6974358974358974</v>
      </c>
    </row>
    <row r="88" spans="1:5" x14ac:dyDescent="0.3">
      <c r="A88" s="1" t="s">
        <v>17</v>
      </c>
      <c r="B88" s="2">
        <v>46066</v>
      </c>
      <c r="C88" s="1" t="s">
        <v>8</v>
      </c>
      <c r="D88" s="3">
        <v>0.37619047619047619</v>
      </c>
      <c r="E88" s="3">
        <v>0.31282051282051282</v>
      </c>
    </row>
    <row r="89" spans="1:5" x14ac:dyDescent="0.3">
      <c r="A89" s="1" t="s">
        <v>17</v>
      </c>
      <c r="B89" s="2">
        <v>46067</v>
      </c>
      <c r="C89" s="1" t="s">
        <v>6</v>
      </c>
      <c r="D89" s="3">
        <v>0.68571428571428572</v>
      </c>
      <c r="E89" s="3"/>
    </row>
    <row r="90" spans="1:5" x14ac:dyDescent="0.3">
      <c r="A90" s="1" t="s">
        <v>17</v>
      </c>
      <c r="B90" s="2">
        <v>46067</v>
      </c>
      <c r="C90" s="1" t="s">
        <v>7</v>
      </c>
      <c r="D90" s="3">
        <v>0.86666666666666659</v>
      </c>
      <c r="E90" s="3"/>
    </row>
    <row r="91" spans="1:5" x14ac:dyDescent="0.3">
      <c r="A91" s="1" t="s">
        <v>17</v>
      </c>
      <c r="B91" s="2">
        <v>46067</v>
      </c>
      <c r="C91" s="1" t="s">
        <v>8</v>
      </c>
      <c r="D91" s="3">
        <v>0.73333333333333339</v>
      </c>
      <c r="E91" s="3"/>
    </row>
    <row r="92" spans="1:5" x14ac:dyDescent="0.3">
      <c r="A92" s="1" t="s">
        <v>18</v>
      </c>
      <c r="B92" s="2">
        <v>46062</v>
      </c>
      <c r="C92" s="1" t="s">
        <v>6</v>
      </c>
      <c r="D92" s="3">
        <v>0.44666666666666671</v>
      </c>
      <c r="E92" s="3">
        <v>0.5066666666666666</v>
      </c>
    </row>
    <row r="93" spans="1:5" x14ac:dyDescent="0.3">
      <c r="A93" s="1" t="s">
        <v>18</v>
      </c>
      <c r="B93" s="2">
        <v>46062</v>
      </c>
      <c r="C93" s="1" t="s">
        <v>7</v>
      </c>
      <c r="D93" s="3">
        <v>0.7533333333333333</v>
      </c>
      <c r="E93" s="3">
        <v>0.77</v>
      </c>
    </row>
    <row r="94" spans="1:5" x14ac:dyDescent="0.3">
      <c r="A94" s="1" t="s">
        <v>18</v>
      </c>
      <c r="B94" s="2">
        <v>46062</v>
      </c>
      <c r="C94" s="1" t="s">
        <v>8</v>
      </c>
      <c r="D94" s="3">
        <v>0.76666666666666661</v>
      </c>
      <c r="E94" s="3">
        <v>0.72820512820512817</v>
      </c>
    </row>
    <row r="95" spans="1:5" x14ac:dyDescent="0.3">
      <c r="A95" s="1" t="s">
        <v>18</v>
      </c>
      <c r="B95" s="2">
        <v>46063</v>
      </c>
      <c r="C95" s="1" t="s">
        <v>6</v>
      </c>
      <c r="D95" s="3">
        <v>0.57037037037037031</v>
      </c>
      <c r="E95" s="3">
        <v>0.52</v>
      </c>
    </row>
    <row r="96" spans="1:5" x14ac:dyDescent="0.3">
      <c r="A96" s="1" t="s">
        <v>18</v>
      </c>
      <c r="B96" s="2">
        <v>46063</v>
      </c>
      <c r="C96" s="1" t="s">
        <v>7</v>
      </c>
      <c r="D96" s="3">
        <v>0.88888888888888884</v>
      </c>
      <c r="E96" s="3">
        <v>0.87619047619047619</v>
      </c>
    </row>
    <row r="97" spans="1:5" x14ac:dyDescent="0.3">
      <c r="A97" s="1" t="s">
        <v>18</v>
      </c>
      <c r="B97" s="2">
        <v>46063</v>
      </c>
      <c r="C97" s="1" t="s">
        <v>8</v>
      </c>
      <c r="D97" s="3">
        <v>0.98518518518518527</v>
      </c>
      <c r="E97" s="3">
        <v>0.7466666666666667</v>
      </c>
    </row>
    <row r="98" spans="1:5" x14ac:dyDescent="0.3">
      <c r="A98" s="1" t="s">
        <v>18</v>
      </c>
      <c r="B98" s="2">
        <v>46064</v>
      </c>
      <c r="C98" s="1" t="s">
        <v>6</v>
      </c>
      <c r="D98" s="3"/>
      <c r="E98" s="3">
        <v>0.4</v>
      </c>
    </row>
    <row r="99" spans="1:5" x14ac:dyDescent="0.3">
      <c r="A99" s="1" t="s">
        <v>18</v>
      </c>
      <c r="B99" s="2">
        <v>46064</v>
      </c>
      <c r="C99" s="1" t="s">
        <v>7</v>
      </c>
      <c r="D99" s="3"/>
      <c r="E99" s="3">
        <v>0.73333333333333328</v>
      </c>
    </row>
    <row r="100" spans="1:5" x14ac:dyDescent="0.3">
      <c r="A100" s="1" t="s">
        <v>18</v>
      </c>
      <c r="B100" s="2">
        <v>46064</v>
      </c>
      <c r="C100" s="1" t="s">
        <v>8</v>
      </c>
      <c r="D100" s="3"/>
      <c r="E100" s="3">
        <v>0.8666666666666667</v>
      </c>
    </row>
    <row r="101" spans="1:5" x14ac:dyDescent="0.3">
      <c r="A101" s="1" t="s">
        <v>18</v>
      </c>
      <c r="B101" s="2">
        <v>46065</v>
      </c>
      <c r="C101" s="1" t="s">
        <v>6</v>
      </c>
      <c r="D101" s="3">
        <v>0.67999999999999994</v>
      </c>
      <c r="E101" s="3">
        <v>0.57777777777777783</v>
      </c>
    </row>
    <row r="102" spans="1:5" x14ac:dyDescent="0.3">
      <c r="A102" s="1" t="s">
        <v>18</v>
      </c>
      <c r="B102" s="2">
        <v>46065</v>
      </c>
      <c r="C102" s="1" t="s">
        <v>7</v>
      </c>
      <c r="D102" s="3">
        <v>0.93333333333333335</v>
      </c>
      <c r="E102" s="3">
        <v>0.6</v>
      </c>
    </row>
    <row r="103" spans="1:5" x14ac:dyDescent="0.3">
      <c r="A103" s="1" t="s">
        <v>18</v>
      </c>
      <c r="B103" s="2">
        <v>46065</v>
      </c>
      <c r="C103" s="1" t="s">
        <v>8</v>
      </c>
      <c r="D103" s="3">
        <v>0.8666666666666667</v>
      </c>
      <c r="E103" s="3">
        <v>0.4</v>
      </c>
    </row>
  </sheetData>
  <autoFilter ref="A1:E103" xr:uid="{00000000-0001-0000-0000-000000000000}"/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3AF2-84F0-4E9E-8D54-165446481648}">
  <dimension ref="A1:T14"/>
  <sheetViews>
    <sheetView topLeftCell="D1" workbookViewId="0">
      <selection activeCell="I5" sqref="I5"/>
    </sheetView>
  </sheetViews>
  <sheetFormatPr defaultRowHeight="14.4" x14ac:dyDescent="0.3"/>
  <cols>
    <col min="1" max="1" width="24" bestFit="1" customWidth="1"/>
    <col min="2" max="2" width="10.33203125" bestFit="1" customWidth="1"/>
    <col min="4" max="5" width="22.33203125" bestFit="1" customWidth="1"/>
    <col min="6" max="6" width="15.33203125" bestFit="1" customWidth="1"/>
    <col min="8" max="8" width="10.33203125" bestFit="1" customWidth="1"/>
    <col min="13" max="13" width="10.33203125" bestFit="1" customWidth="1"/>
    <col min="18" max="18" width="10.33203125" bestFit="1" customWidth="1"/>
  </cols>
  <sheetData>
    <row r="1" spans="1:20" x14ac:dyDescent="0.3">
      <c r="G1" t="s">
        <v>31</v>
      </c>
      <c r="L1" t="s">
        <v>32</v>
      </c>
      <c r="Q1" t="s">
        <v>33</v>
      </c>
    </row>
    <row r="2" spans="1:20" ht="28.8" x14ac:dyDescent="0.3">
      <c r="A2" s="7" t="s">
        <v>19</v>
      </c>
      <c r="B2" s="7" t="s">
        <v>1</v>
      </c>
      <c r="C2" s="7" t="s">
        <v>2</v>
      </c>
      <c r="D2" s="7" t="s">
        <v>20</v>
      </c>
      <c r="E2" s="7" t="s">
        <v>21</v>
      </c>
      <c r="F2" s="7"/>
      <c r="G2" s="9" t="s">
        <v>0</v>
      </c>
      <c r="H2" s="9" t="s">
        <v>1</v>
      </c>
      <c r="I2" s="9" t="s">
        <v>26</v>
      </c>
      <c r="J2" s="9" t="s">
        <v>27</v>
      </c>
      <c r="L2" s="9" t="s">
        <v>0</v>
      </c>
      <c r="M2" s="9" t="s">
        <v>1</v>
      </c>
      <c r="N2" s="9" t="s">
        <v>26</v>
      </c>
      <c r="O2" s="9" t="s">
        <v>27</v>
      </c>
      <c r="Q2" s="9" t="s">
        <v>0</v>
      </c>
      <c r="R2" s="9" t="s">
        <v>1</v>
      </c>
      <c r="S2" s="9" t="s">
        <v>26</v>
      </c>
      <c r="T2" s="9" t="s">
        <v>27</v>
      </c>
    </row>
    <row r="3" spans="1:20" ht="28.8" x14ac:dyDescent="0.3">
      <c r="A3" s="1" t="s">
        <v>22</v>
      </c>
      <c r="B3" s="2">
        <v>46062</v>
      </c>
      <c r="C3" s="1" t="s">
        <v>6</v>
      </c>
      <c r="D3" s="3">
        <v>0.32500000000000001</v>
      </c>
      <c r="E3" s="5" t="s">
        <v>34</v>
      </c>
      <c r="G3" s="10" t="s">
        <v>28</v>
      </c>
      <c r="H3" s="11">
        <v>46062</v>
      </c>
      <c r="I3" s="12">
        <v>0.33</v>
      </c>
      <c r="J3" s="13" t="s">
        <v>47</v>
      </c>
      <c r="L3" s="10" t="s">
        <v>28</v>
      </c>
      <c r="M3" s="11">
        <v>46062</v>
      </c>
      <c r="N3" s="12">
        <v>0.64</v>
      </c>
      <c r="O3" s="13" t="s">
        <v>50</v>
      </c>
      <c r="Q3" s="10" t="s">
        <v>28</v>
      </c>
      <c r="R3" s="11">
        <v>46062</v>
      </c>
      <c r="S3" s="12">
        <v>0.6</v>
      </c>
      <c r="T3" s="13" t="s">
        <v>54</v>
      </c>
    </row>
    <row r="4" spans="1:20" ht="28.8" x14ac:dyDescent="0.3">
      <c r="A4" s="1" t="s">
        <v>22</v>
      </c>
      <c r="B4" s="2">
        <v>46062</v>
      </c>
      <c r="C4" s="1" t="s">
        <v>7</v>
      </c>
      <c r="D4" s="3">
        <v>0.64166666666666661</v>
      </c>
      <c r="E4" s="5" t="s">
        <v>35</v>
      </c>
      <c r="G4" s="10" t="s">
        <v>29</v>
      </c>
      <c r="H4" s="11">
        <v>46063</v>
      </c>
      <c r="I4" s="13" t="s">
        <v>48</v>
      </c>
      <c r="J4" s="14"/>
      <c r="L4" s="10" t="s">
        <v>29</v>
      </c>
      <c r="M4" s="11">
        <v>46063</v>
      </c>
      <c r="N4" s="13" t="s">
        <v>51</v>
      </c>
      <c r="O4" s="13" t="s">
        <v>52</v>
      </c>
      <c r="Q4" s="10" t="s">
        <v>29</v>
      </c>
      <c r="R4" s="11">
        <v>46063</v>
      </c>
      <c r="S4" s="13" t="s">
        <v>47</v>
      </c>
      <c r="T4" s="13" t="s">
        <v>55</v>
      </c>
    </row>
    <row r="5" spans="1:20" ht="43.2" x14ac:dyDescent="0.3">
      <c r="A5" s="1" t="s">
        <v>22</v>
      </c>
      <c r="B5" s="2">
        <v>46062</v>
      </c>
      <c r="C5" s="1" t="s">
        <v>8</v>
      </c>
      <c r="D5" s="3">
        <v>0.6</v>
      </c>
      <c r="E5" s="5" t="s">
        <v>36</v>
      </c>
      <c r="G5" s="10" t="s">
        <v>30</v>
      </c>
      <c r="H5" s="11">
        <v>46062</v>
      </c>
      <c r="I5" s="13" t="s">
        <v>42</v>
      </c>
      <c r="J5" s="10"/>
      <c r="L5" s="10" t="s">
        <v>30</v>
      </c>
      <c r="M5" s="11">
        <v>46062</v>
      </c>
      <c r="N5" s="13" t="s">
        <v>53</v>
      </c>
      <c r="O5" s="10"/>
      <c r="Q5" s="10" t="s">
        <v>30</v>
      </c>
      <c r="R5" s="11">
        <v>46062</v>
      </c>
      <c r="S5" s="13" t="s">
        <v>48</v>
      </c>
      <c r="T5" s="10"/>
    </row>
    <row r="6" spans="1:20" ht="28.8" x14ac:dyDescent="0.3">
      <c r="A6" s="1" t="s">
        <v>23</v>
      </c>
      <c r="B6" s="2">
        <v>46063</v>
      </c>
      <c r="C6" s="1" t="s">
        <v>6</v>
      </c>
      <c r="D6" s="5" t="s">
        <v>37</v>
      </c>
      <c r="E6" s="6"/>
      <c r="G6" s="10" t="s">
        <v>25</v>
      </c>
      <c r="H6" s="11">
        <v>46065</v>
      </c>
      <c r="I6" s="13" t="s">
        <v>49</v>
      </c>
      <c r="J6" s="12">
        <v>0.37</v>
      </c>
      <c r="L6" s="10" t="s">
        <v>25</v>
      </c>
      <c r="M6" s="11">
        <v>46065</v>
      </c>
      <c r="N6" s="13" t="s">
        <v>42</v>
      </c>
      <c r="O6" s="12">
        <v>0.71</v>
      </c>
      <c r="Q6" s="10" t="s">
        <v>25</v>
      </c>
      <c r="R6" s="11">
        <v>46065</v>
      </c>
      <c r="S6" s="13" t="s">
        <v>56</v>
      </c>
      <c r="T6" s="12">
        <v>0.38</v>
      </c>
    </row>
    <row r="7" spans="1:20" x14ac:dyDescent="0.3">
      <c r="A7" s="1" t="s">
        <v>23</v>
      </c>
      <c r="B7" s="2">
        <v>46063</v>
      </c>
      <c r="C7" s="1" t="s">
        <v>7</v>
      </c>
      <c r="D7" s="5" t="s">
        <v>38</v>
      </c>
      <c r="E7" s="5" t="s">
        <v>39</v>
      </c>
    </row>
    <row r="8" spans="1:20" x14ac:dyDescent="0.3">
      <c r="A8" s="1" t="s">
        <v>23</v>
      </c>
      <c r="B8" s="2">
        <v>46063</v>
      </c>
      <c r="C8" s="1" t="s">
        <v>8</v>
      </c>
      <c r="D8" s="5" t="s">
        <v>41</v>
      </c>
      <c r="E8" s="5" t="s">
        <v>40</v>
      </c>
    </row>
    <row r="9" spans="1:20" x14ac:dyDescent="0.3">
      <c r="A9" s="1" t="s">
        <v>24</v>
      </c>
      <c r="B9" s="2">
        <v>46062</v>
      </c>
      <c r="C9" s="1" t="s">
        <v>6</v>
      </c>
      <c r="D9" s="5" t="s">
        <v>42</v>
      </c>
      <c r="E9" s="3"/>
    </row>
    <row r="10" spans="1:20" x14ac:dyDescent="0.3">
      <c r="A10" s="1" t="s">
        <v>24</v>
      </c>
      <c r="B10" s="2">
        <v>46062</v>
      </c>
      <c r="C10" s="1" t="s">
        <v>7</v>
      </c>
      <c r="D10" s="5" t="s">
        <v>43</v>
      </c>
      <c r="E10" s="3"/>
    </row>
    <row r="11" spans="1:20" x14ac:dyDescent="0.3">
      <c r="A11" s="1" t="s">
        <v>24</v>
      </c>
      <c r="B11" s="2">
        <v>46062</v>
      </c>
      <c r="C11" s="1" t="s">
        <v>8</v>
      </c>
      <c r="D11" s="5" t="s">
        <v>44</v>
      </c>
      <c r="E11" s="3"/>
    </row>
    <row r="12" spans="1:20" x14ac:dyDescent="0.3">
      <c r="A12" s="1" t="s">
        <v>25</v>
      </c>
      <c r="B12" s="2">
        <v>46065</v>
      </c>
      <c r="C12" s="1" t="s">
        <v>6</v>
      </c>
      <c r="D12" s="5" t="s">
        <v>45</v>
      </c>
      <c r="E12" s="3">
        <v>0.36666666666666659</v>
      </c>
    </row>
    <row r="13" spans="1:20" x14ac:dyDescent="0.3">
      <c r="A13" s="1" t="s">
        <v>25</v>
      </c>
      <c r="B13" s="2">
        <v>46065</v>
      </c>
      <c r="C13" s="1" t="s">
        <v>7</v>
      </c>
      <c r="D13" s="5" t="s">
        <v>42</v>
      </c>
      <c r="E13" s="3">
        <v>0.70666666666666667</v>
      </c>
    </row>
    <row r="14" spans="1:20" x14ac:dyDescent="0.3">
      <c r="A14" s="1" t="s">
        <v>25</v>
      </c>
      <c r="B14" s="2">
        <v>46065</v>
      </c>
      <c r="C14" s="1" t="s">
        <v>8</v>
      </c>
      <c r="D14" s="5" t="s">
        <v>46</v>
      </c>
      <c r="E14" s="3">
        <v>0.37575757575757568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FA33-6123-452D-8335-2EBD34560933}">
  <dimension ref="A1:DO3"/>
  <sheetViews>
    <sheetView topLeftCell="CS1" workbookViewId="0">
      <selection sqref="A1:DO3"/>
    </sheetView>
  </sheetViews>
  <sheetFormatPr defaultRowHeight="14.4" x14ac:dyDescent="0.3"/>
  <sheetData>
    <row r="1" spans="1:119" ht="43.2" customHeight="1" x14ac:dyDescent="0.3">
      <c r="A1" s="17">
        <v>230</v>
      </c>
      <c r="B1" s="17" t="s">
        <v>60</v>
      </c>
      <c r="C1" s="17" t="s">
        <v>61</v>
      </c>
      <c r="D1" s="17" t="s">
        <v>62</v>
      </c>
      <c r="E1" s="10" t="s">
        <v>13</v>
      </c>
      <c r="F1" s="17" t="s">
        <v>63</v>
      </c>
      <c r="G1" s="17">
        <v>7</v>
      </c>
      <c r="H1" s="17" t="s">
        <v>64</v>
      </c>
      <c r="I1" s="10" t="s">
        <v>65</v>
      </c>
      <c r="J1" s="17">
        <v>20</v>
      </c>
      <c r="K1" s="17">
        <v>51</v>
      </c>
      <c r="L1" s="17" t="s">
        <v>8</v>
      </c>
      <c r="M1" s="17" t="s">
        <v>66</v>
      </c>
      <c r="N1" s="17" t="s">
        <v>67</v>
      </c>
      <c r="O1" s="17" t="s">
        <v>68</v>
      </c>
      <c r="P1" s="17" t="s">
        <v>69</v>
      </c>
      <c r="Q1" s="10" t="s">
        <v>70</v>
      </c>
      <c r="R1" s="17">
        <v>1</v>
      </c>
      <c r="S1" s="17" t="s">
        <v>69</v>
      </c>
      <c r="T1" s="17" t="s">
        <v>71</v>
      </c>
      <c r="U1" s="17" t="s">
        <v>67</v>
      </c>
      <c r="V1" s="17" t="s">
        <v>68</v>
      </c>
      <c r="W1" s="17" t="s">
        <v>69</v>
      </c>
      <c r="X1" s="17" t="s">
        <v>72</v>
      </c>
      <c r="Y1" s="17">
        <v>1</v>
      </c>
      <c r="Z1" s="17" t="s">
        <v>69</v>
      </c>
      <c r="AA1" s="17" t="s">
        <v>73</v>
      </c>
      <c r="AB1" s="17" t="s">
        <v>67</v>
      </c>
      <c r="AC1" s="17" t="s">
        <v>68</v>
      </c>
      <c r="AD1" s="17" t="s">
        <v>74</v>
      </c>
      <c r="AE1" s="17" t="s">
        <v>75</v>
      </c>
      <c r="AF1" s="17">
        <v>0</v>
      </c>
      <c r="AG1" s="17" t="s">
        <v>76</v>
      </c>
      <c r="AH1" s="17" t="s">
        <v>77</v>
      </c>
      <c r="AI1" s="10" t="s">
        <v>78</v>
      </c>
      <c r="AJ1" s="17" t="s">
        <v>68</v>
      </c>
      <c r="AK1" s="17" t="s">
        <v>69</v>
      </c>
      <c r="AL1" s="17" t="s">
        <v>79</v>
      </c>
      <c r="AM1" s="17">
        <v>1</v>
      </c>
      <c r="AN1" s="17" t="s">
        <v>69</v>
      </c>
      <c r="AO1" s="17" t="s">
        <v>80</v>
      </c>
      <c r="AP1" s="17" t="s">
        <v>67</v>
      </c>
      <c r="AQ1" s="17" t="s">
        <v>68</v>
      </c>
      <c r="AR1" s="17" t="s">
        <v>74</v>
      </c>
      <c r="AS1" s="10" t="s">
        <v>81</v>
      </c>
      <c r="AT1" s="17">
        <v>0</v>
      </c>
      <c r="AU1" s="17" t="s">
        <v>69</v>
      </c>
      <c r="AV1" s="17" t="s">
        <v>82</v>
      </c>
      <c r="AW1" s="10" t="s">
        <v>78</v>
      </c>
      <c r="AX1" s="17" t="s">
        <v>68</v>
      </c>
      <c r="AY1" s="17" t="s">
        <v>69</v>
      </c>
      <c r="AZ1" s="17" t="s">
        <v>83</v>
      </c>
      <c r="BA1" s="17">
        <v>0</v>
      </c>
      <c r="BB1" s="17" t="s">
        <v>76</v>
      </c>
      <c r="BC1" s="17" t="s">
        <v>84</v>
      </c>
      <c r="BD1" s="10" t="s">
        <v>78</v>
      </c>
      <c r="BE1" s="17" t="s">
        <v>68</v>
      </c>
      <c r="BF1" s="17" t="s">
        <v>76</v>
      </c>
      <c r="BG1" s="10" t="s">
        <v>85</v>
      </c>
      <c r="BH1" s="17">
        <v>1</v>
      </c>
      <c r="BI1" s="17" t="s">
        <v>76</v>
      </c>
      <c r="BJ1" s="17" t="s">
        <v>86</v>
      </c>
      <c r="BK1" s="10" t="s">
        <v>78</v>
      </c>
      <c r="BL1" s="17" t="s">
        <v>68</v>
      </c>
      <c r="BM1" s="17" t="s">
        <v>74</v>
      </c>
      <c r="BN1" s="10" t="s">
        <v>87</v>
      </c>
      <c r="BO1" s="17">
        <v>0</v>
      </c>
      <c r="BP1" s="17" t="s">
        <v>69</v>
      </c>
      <c r="BQ1" s="17" t="s">
        <v>88</v>
      </c>
      <c r="BR1" s="10" t="s">
        <v>78</v>
      </c>
      <c r="BS1" s="17" t="s">
        <v>68</v>
      </c>
      <c r="BT1" s="17" t="s">
        <v>69</v>
      </c>
      <c r="BU1" s="17" t="s">
        <v>89</v>
      </c>
      <c r="BV1" s="17">
        <v>0</v>
      </c>
      <c r="BW1" s="17" t="s">
        <v>76</v>
      </c>
      <c r="BX1" s="17" t="s">
        <v>90</v>
      </c>
      <c r="BY1" s="10" t="s">
        <v>78</v>
      </c>
      <c r="BZ1" s="17" t="s">
        <v>68</v>
      </c>
      <c r="CA1" s="17" t="s">
        <v>69</v>
      </c>
      <c r="CB1" s="10" t="s">
        <v>91</v>
      </c>
      <c r="CC1" s="17">
        <v>1</v>
      </c>
      <c r="CD1" s="17" t="s">
        <v>69</v>
      </c>
      <c r="CE1" s="17" t="s">
        <v>92</v>
      </c>
      <c r="CF1" s="10" t="s">
        <v>93</v>
      </c>
      <c r="CG1" s="17" t="s">
        <v>68</v>
      </c>
      <c r="CH1" s="17" t="s">
        <v>69</v>
      </c>
      <c r="CI1" s="10" t="s">
        <v>94</v>
      </c>
      <c r="CJ1" s="17">
        <v>0</v>
      </c>
      <c r="CK1" s="17" t="s">
        <v>74</v>
      </c>
      <c r="CL1" s="17" t="s">
        <v>95</v>
      </c>
      <c r="CM1" s="10" t="s">
        <v>93</v>
      </c>
      <c r="CN1" s="17" t="s">
        <v>68</v>
      </c>
      <c r="CO1" s="17" t="s">
        <v>69</v>
      </c>
      <c r="CP1" s="10" t="s">
        <v>96</v>
      </c>
      <c r="CQ1" s="17">
        <v>0</v>
      </c>
      <c r="CR1" s="17" t="s">
        <v>76</v>
      </c>
      <c r="CS1" s="17" t="s">
        <v>97</v>
      </c>
      <c r="CT1" s="10" t="s">
        <v>78</v>
      </c>
      <c r="CU1" s="17" t="s">
        <v>68</v>
      </c>
      <c r="CV1" s="17" t="s">
        <v>74</v>
      </c>
      <c r="CW1" s="10" t="s">
        <v>98</v>
      </c>
      <c r="CX1" s="17">
        <v>0</v>
      </c>
      <c r="CY1" s="17" t="s">
        <v>69</v>
      </c>
      <c r="CZ1" s="17" t="s">
        <v>99</v>
      </c>
      <c r="DA1" s="10" t="s">
        <v>93</v>
      </c>
      <c r="DB1" s="17" t="s">
        <v>68</v>
      </c>
      <c r="DC1" s="17" t="s">
        <v>69</v>
      </c>
      <c r="DD1" s="17" t="s">
        <v>100</v>
      </c>
      <c r="DE1" s="17">
        <v>0</v>
      </c>
      <c r="DF1" s="17" t="s">
        <v>76</v>
      </c>
      <c r="DG1" s="17" t="s">
        <v>101</v>
      </c>
      <c r="DH1" s="10" t="s">
        <v>93</v>
      </c>
      <c r="DI1" s="17" t="s">
        <v>68</v>
      </c>
      <c r="DJ1" s="17" t="s">
        <v>69</v>
      </c>
      <c r="DK1" s="10" t="s">
        <v>102</v>
      </c>
      <c r="DL1" s="17">
        <v>1</v>
      </c>
      <c r="DM1" s="17" t="s">
        <v>69</v>
      </c>
      <c r="DN1">
        <f t="shared" ref="DN1:DN3" si="0">SUM(DL1,DE1,CX1,CQ1,CJ1,CC1,BV1,BO1,BH1,BA1,AT1,AM1,AF1,Y1,R1)</f>
        <v>6</v>
      </c>
      <c r="DO1" s="8">
        <f t="shared" ref="DO1:DO3" si="1">DN1/15</f>
        <v>0.4</v>
      </c>
    </row>
    <row r="2" spans="1:119" ht="43.2" customHeight="1" x14ac:dyDescent="0.3">
      <c r="A2" s="17">
        <v>230</v>
      </c>
      <c r="B2" s="17" t="s">
        <v>60</v>
      </c>
      <c r="C2" s="17" t="s">
        <v>61</v>
      </c>
      <c r="D2" s="17" t="s">
        <v>62</v>
      </c>
      <c r="E2" s="10" t="s">
        <v>13</v>
      </c>
      <c r="F2" s="17" t="s">
        <v>63</v>
      </c>
      <c r="G2" s="17">
        <v>7</v>
      </c>
      <c r="H2" s="17" t="s">
        <v>64</v>
      </c>
      <c r="I2" s="10" t="s">
        <v>103</v>
      </c>
      <c r="J2" s="17">
        <v>20</v>
      </c>
      <c r="K2" s="17">
        <v>51</v>
      </c>
      <c r="L2" s="17" t="s">
        <v>7</v>
      </c>
      <c r="M2" s="17" t="s">
        <v>104</v>
      </c>
      <c r="N2" s="10" t="s">
        <v>93</v>
      </c>
      <c r="O2" s="17" t="s">
        <v>68</v>
      </c>
      <c r="P2" s="17" t="s">
        <v>105</v>
      </c>
      <c r="Q2" s="10" t="s">
        <v>106</v>
      </c>
      <c r="R2" s="17">
        <v>0</v>
      </c>
      <c r="S2" s="17" t="s">
        <v>69</v>
      </c>
      <c r="T2" s="17" t="s">
        <v>107</v>
      </c>
      <c r="U2" s="10" t="s">
        <v>78</v>
      </c>
      <c r="V2" s="17" t="s">
        <v>68</v>
      </c>
      <c r="W2" s="17" t="s">
        <v>105</v>
      </c>
      <c r="X2" s="10" t="s">
        <v>108</v>
      </c>
      <c r="Y2" s="17">
        <v>0</v>
      </c>
      <c r="Z2" s="17" t="s">
        <v>74</v>
      </c>
      <c r="AA2" s="17" t="s">
        <v>109</v>
      </c>
      <c r="AB2" s="10" t="s">
        <v>78</v>
      </c>
      <c r="AC2" s="17" t="s">
        <v>68</v>
      </c>
      <c r="AD2" s="17" t="s">
        <v>69</v>
      </c>
      <c r="AE2" s="10" t="s">
        <v>108</v>
      </c>
      <c r="AF2" s="17">
        <v>1</v>
      </c>
      <c r="AG2" s="17" t="s">
        <v>69</v>
      </c>
      <c r="AH2" s="17" t="s">
        <v>110</v>
      </c>
      <c r="AI2" s="10" t="s">
        <v>93</v>
      </c>
      <c r="AJ2" s="17" t="s">
        <v>68</v>
      </c>
      <c r="AK2" s="17" t="s">
        <v>69</v>
      </c>
      <c r="AL2" s="10" t="s">
        <v>108</v>
      </c>
      <c r="AM2" s="17">
        <v>0</v>
      </c>
      <c r="AN2" s="17" t="s">
        <v>76</v>
      </c>
      <c r="AO2" s="17" t="s">
        <v>111</v>
      </c>
      <c r="AP2" s="17" t="s">
        <v>67</v>
      </c>
      <c r="AQ2" s="17" t="s">
        <v>68</v>
      </c>
      <c r="AR2" s="17" t="s">
        <v>76</v>
      </c>
      <c r="AS2" s="10" t="s">
        <v>112</v>
      </c>
      <c r="AT2" s="17">
        <v>1</v>
      </c>
      <c r="AU2" s="17" t="s">
        <v>76</v>
      </c>
      <c r="AV2" s="17" t="s">
        <v>113</v>
      </c>
      <c r="AW2" s="17" t="s">
        <v>67</v>
      </c>
      <c r="AX2" s="17" t="s">
        <v>68</v>
      </c>
      <c r="AY2" s="17" t="s">
        <v>69</v>
      </c>
      <c r="AZ2" s="10" t="s">
        <v>114</v>
      </c>
      <c r="BA2" s="17">
        <v>1</v>
      </c>
      <c r="BB2" s="17" t="s">
        <v>69</v>
      </c>
      <c r="BC2" s="17" t="s">
        <v>115</v>
      </c>
      <c r="BD2" s="17" t="s">
        <v>67</v>
      </c>
      <c r="BE2" s="17" t="s">
        <v>68</v>
      </c>
      <c r="BF2" s="17" t="s">
        <v>69</v>
      </c>
      <c r="BG2" s="10" t="s">
        <v>116</v>
      </c>
      <c r="BH2" s="17">
        <v>0</v>
      </c>
      <c r="BI2" s="17" t="s">
        <v>74</v>
      </c>
      <c r="BJ2" s="17" t="s">
        <v>117</v>
      </c>
      <c r="BK2" s="17" t="s">
        <v>67</v>
      </c>
      <c r="BL2" s="17" t="s">
        <v>68</v>
      </c>
      <c r="BM2" s="17" t="s">
        <v>76</v>
      </c>
      <c r="BN2" s="17" t="s">
        <v>118</v>
      </c>
      <c r="BO2" s="17">
        <v>1</v>
      </c>
      <c r="BP2" s="17" t="s">
        <v>76</v>
      </c>
      <c r="BQ2" s="17" t="s">
        <v>119</v>
      </c>
      <c r="BR2" s="10" t="s">
        <v>78</v>
      </c>
      <c r="BS2" s="17" t="s">
        <v>68</v>
      </c>
      <c r="BT2" s="17" t="s">
        <v>76</v>
      </c>
      <c r="BU2" s="10" t="s">
        <v>120</v>
      </c>
      <c r="BV2" s="17">
        <v>0</v>
      </c>
      <c r="BW2" s="17" t="s">
        <v>69</v>
      </c>
      <c r="BX2" s="17" t="s">
        <v>121</v>
      </c>
      <c r="BY2" s="10" t="s">
        <v>78</v>
      </c>
      <c r="BZ2" s="17" t="s">
        <v>68</v>
      </c>
      <c r="CA2" s="17" t="s">
        <v>74</v>
      </c>
      <c r="CB2" s="17" t="s">
        <v>122</v>
      </c>
      <c r="CC2" s="17">
        <v>1</v>
      </c>
      <c r="CD2" s="17" t="s">
        <v>74</v>
      </c>
      <c r="CE2" s="17" t="s">
        <v>123</v>
      </c>
      <c r="CF2" s="10" t="s">
        <v>78</v>
      </c>
      <c r="CG2" s="17" t="s">
        <v>68</v>
      </c>
      <c r="CH2" s="17" t="s">
        <v>74</v>
      </c>
      <c r="CI2" s="10" t="s">
        <v>106</v>
      </c>
      <c r="CJ2" s="17">
        <v>1</v>
      </c>
      <c r="CK2" s="17" t="s">
        <v>74</v>
      </c>
      <c r="CL2" s="17" t="s">
        <v>124</v>
      </c>
      <c r="CM2" s="10" t="s">
        <v>78</v>
      </c>
      <c r="CN2" s="17" t="s">
        <v>68</v>
      </c>
      <c r="CO2" s="17" t="s">
        <v>69</v>
      </c>
      <c r="CP2" s="10" t="s">
        <v>125</v>
      </c>
      <c r="CQ2" s="17">
        <v>0</v>
      </c>
      <c r="CR2" s="17" t="s">
        <v>76</v>
      </c>
      <c r="CS2" s="17" t="s">
        <v>126</v>
      </c>
      <c r="CT2" s="10" t="s">
        <v>78</v>
      </c>
      <c r="CU2" s="17" t="s">
        <v>68</v>
      </c>
      <c r="CV2" s="17" t="s">
        <v>74</v>
      </c>
      <c r="CW2" s="10" t="s">
        <v>127</v>
      </c>
      <c r="CX2" s="17">
        <v>0</v>
      </c>
      <c r="CY2" s="17" t="s">
        <v>105</v>
      </c>
      <c r="CZ2" s="17" t="s">
        <v>128</v>
      </c>
      <c r="DA2" s="10" t="s">
        <v>93</v>
      </c>
      <c r="DB2" s="17" t="s">
        <v>68</v>
      </c>
      <c r="DC2" s="17" t="s">
        <v>74</v>
      </c>
      <c r="DD2" s="10" t="s">
        <v>129</v>
      </c>
      <c r="DE2" s="17">
        <v>0</v>
      </c>
      <c r="DF2" s="17" t="s">
        <v>69</v>
      </c>
      <c r="DG2" s="17" t="s">
        <v>130</v>
      </c>
      <c r="DH2" s="10" t="s">
        <v>93</v>
      </c>
      <c r="DI2" s="17" t="s">
        <v>68</v>
      </c>
      <c r="DJ2" s="17" t="s">
        <v>69</v>
      </c>
      <c r="DK2" s="10" t="s">
        <v>131</v>
      </c>
      <c r="DL2" s="17">
        <v>1</v>
      </c>
      <c r="DM2" s="17" t="s">
        <v>69</v>
      </c>
      <c r="DN2">
        <f t="shared" si="0"/>
        <v>7</v>
      </c>
      <c r="DO2" s="8">
        <f t="shared" si="1"/>
        <v>0.46666666666666667</v>
      </c>
    </row>
    <row r="3" spans="1:119" ht="86.4" customHeight="1" x14ac:dyDescent="0.3">
      <c r="A3" s="17">
        <v>230</v>
      </c>
      <c r="B3" s="17" t="s">
        <v>60</v>
      </c>
      <c r="C3" s="17" t="s">
        <v>61</v>
      </c>
      <c r="D3" s="17" t="s">
        <v>62</v>
      </c>
      <c r="E3" s="10" t="s">
        <v>13</v>
      </c>
      <c r="F3" s="17" t="s">
        <v>63</v>
      </c>
      <c r="G3" s="17">
        <v>7</v>
      </c>
      <c r="H3" s="17" t="s">
        <v>64</v>
      </c>
      <c r="I3" s="10" t="s">
        <v>132</v>
      </c>
      <c r="J3" s="17">
        <v>17</v>
      </c>
      <c r="K3" s="17">
        <v>51</v>
      </c>
      <c r="L3" s="17" t="s">
        <v>6</v>
      </c>
      <c r="M3" s="17" t="s">
        <v>133</v>
      </c>
      <c r="N3" s="17" t="s">
        <v>67</v>
      </c>
      <c r="O3" s="17" t="s">
        <v>68</v>
      </c>
      <c r="P3" s="17" t="s">
        <v>69</v>
      </c>
      <c r="Q3" s="10" t="s">
        <v>134</v>
      </c>
      <c r="R3" s="17">
        <v>0</v>
      </c>
      <c r="S3" s="17" t="s">
        <v>74</v>
      </c>
      <c r="T3" s="17" t="s">
        <v>135</v>
      </c>
      <c r="U3" s="10" t="s">
        <v>78</v>
      </c>
      <c r="V3" s="17" t="s">
        <v>68</v>
      </c>
      <c r="W3" s="17" t="s">
        <v>69</v>
      </c>
      <c r="X3" s="10" t="s">
        <v>136</v>
      </c>
      <c r="Y3" s="17">
        <v>1</v>
      </c>
      <c r="Z3" s="17" t="s">
        <v>69</v>
      </c>
      <c r="AA3" s="17" t="s">
        <v>137</v>
      </c>
      <c r="AB3" s="10" t="s">
        <v>78</v>
      </c>
      <c r="AC3" s="17" t="s">
        <v>68</v>
      </c>
      <c r="AD3" s="17" t="s">
        <v>74</v>
      </c>
      <c r="AE3" s="10" t="s">
        <v>138</v>
      </c>
      <c r="AF3" s="17">
        <v>0</v>
      </c>
      <c r="AG3" s="17" t="s">
        <v>76</v>
      </c>
      <c r="AH3" s="17" t="s">
        <v>139</v>
      </c>
      <c r="AI3" s="17" t="s">
        <v>67</v>
      </c>
      <c r="AJ3" s="17" t="s">
        <v>68</v>
      </c>
      <c r="AK3" s="17" t="s">
        <v>69</v>
      </c>
      <c r="AL3" s="10" t="s">
        <v>140</v>
      </c>
      <c r="AM3" s="17">
        <v>1</v>
      </c>
      <c r="AN3" s="17" t="s">
        <v>69</v>
      </c>
      <c r="AO3" s="17" t="s">
        <v>141</v>
      </c>
      <c r="AP3" s="10" t="s">
        <v>78</v>
      </c>
      <c r="AQ3" s="17" t="s">
        <v>68</v>
      </c>
      <c r="AR3" s="17" t="s">
        <v>76</v>
      </c>
      <c r="AS3" s="10" t="s">
        <v>142</v>
      </c>
      <c r="AT3" s="17">
        <v>1</v>
      </c>
      <c r="AU3" s="17" t="s">
        <v>76</v>
      </c>
      <c r="AV3" s="17" t="s">
        <v>143</v>
      </c>
      <c r="AW3" s="17" t="s">
        <v>67</v>
      </c>
      <c r="AX3" s="17" t="s">
        <v>68</v>
      </c>
      <c r="AY3" s="17" t="s">
        <v>105</v>
      </c>
      <c r="AZ3" s="10" t="s">
        <v>144</v>
      </c>
      <c r="BA3" s="17">
        <v>1</v>
      </c>
      <c r="BB3" s="17" t="s">
        <v>105</v>
      </c>
      <c r="BC3" s="17" t="s">
        <v>145</v>
      </c>
      <c r="BD3" s="10" t="s">
        <v>78</v>
      </c>
      <c r="BE3" s="17" t="s">
        <v>68</v>
      </c>
      <c r="BF3" s="17" t="s">
        <v>69</v>
      </c>
      <c r="BG3" s="10" t="s">
        <v>146</v>
      </c>
      <c r="BH3" s="17">
        <v>1</v>
      </c>
      <c r="BI3" s="17" t="s">
        <v>69</v>
      </c>
      <c r="BJ3" s="17" t="s">
        <v>147</v>
      </c>
      <c r="BK3" s="10" t="s">
        <v>78</v>
      </c>
      <c r="BL3" s="17" t="s">
        <v>68</v>
      </c>
      <c r="BM3" s="17" t="s">
        <v>74</v>
      </c>
      <c r="BN3" s="10" t="s">
        <v>148</v>
      </c>
      <c r="BO3" s="17">
        <v>1</v>
      </c>
      <c r="BP3" s="17" t="s">
        <v>74</v>
      </c>
      <c r="BQ3" s="17" t="s">
        <v>149</v>
      </c>
      <c r="BR3" s="10" t="s">
        <v>93</v>
      </c>
      <c r="BS3" s="17" t="s">
        <v>68</v>
      </c>
      <c r="BT3" s="17" t="s">
        <v>74</v>
      </c>
      <c r="BU3" s="10" t="s">
        <v>142</v>
      </c>
      <c r="BV3" s="17">
        <v>1</v>
      </c>
      <c r="BW3" s="17" t="s">
        <v>74</v>
      </c>
      <c r="BX3" s="17" t="s">
        <v>150</v>
      </c>
      <c r="BY3" s="10" t="s">
        <v>93</v>
      </c>
      <c r="BZ3" s="17" t="s">
        <v>68</v>
      </c>
      <c r="CA3" s="17" t="s">
        <v>105</v>
      </c>
      <c r="CB3" s="10" t="s">
        <v>138</v>
      </c>
      <c r="CC3" s="17">
        <v>1</v>
      </c>
      <c r="CD3" s="17" t="s">
        <v>105</v>
      </c>
      <c r="CE3" s="17" t="s">
        <v>151</v>
      </c>
      <c r="CF3" s="10" t="s">
        <v>78</v>
      </c>
      <c r="CG3" s="17" t="s">
        <v>68</v>
      </c>
      <c r="CH3" s="17" t="s">
        <v>69</v>
      </c>
      <c r="CI3" s="17" t="s">
        <v>152</v>
      </c>
      <c r="CJ3" s="17">
        <v>0</v>
      </c>
      <c r="CK3" s="17" t="s">
        <v>74</v>
      </c>
      <c r="CL3" s="17" t="s">
        <v>153</v>
      </c>
      <c r="CM3" s="17" t="s">
        <v>67</v>
      </c>
      <c r="CN3" s="17" t="s">
        <v>68</v>
      </c>
      <c r="CO3" s="17" t="s">
        <v>76</v>
      </c>
      <c r="CP3" s="17" t="s">
        <v>154</v>
      </c>
      <c r="CQ3" s="17">
        <v>0</v>
      </c>
      <c r="CR3" s="17" t="s">
        <v>74</v>
      </c>
      <c r="CS3" s="17" t="s">
        <v>155</v>
      </c>
      <c r="CT3" s="17" t="s">
        <v>67</v>
      </c>
      <c r="CU3" s="17" t="s">
        <v>68</v>
      </c>
      <c r="CV3" s="17" t="s">
        <v>74</v>
      </c>
      <c r="CW3" s="17" t="s">
        <v>156</v>
      </c>
      <c r="CX3" s="17">
        <v>1</v>
      </c>
      <c r="CY3" s="17" t="s">
        <v>74</v>
      </c>
      <c r="CZ3" s="17" t="s">
        <v>157</v>
      </c>
      <c r="DA3" s="10" t="s">
        <v>78</v>
      </c>
      <c r="DB3" s="17" t="s">
        <v>68</v>
      </c>
      <c r="DC3" s="17" t="s">
        <v>69</v>
      </c>
      <c r="DD3" s="17" t="s">
        <v>158</v>
      </c>
      <c r="DE3" s="17">
        <v>0</v>
      </c>
      <c r="DF3" s="17" t="s">
        <v>76</v>
      </c>
      <c r="DG3" s="17" t="s">
        <v>159</v>
      </c>
      <c r="DH3" s="17" t="s">
        <v>67</v>
      </c>
      <c r="DI3" s="17" t="s">
        <v>68</v>
      </c>
      <c r="DJ3" s="17" t="s">
        <v>74</v>
      </c>
      <c r="DK3" s="17" t="s">
        <v>160</v>
      </c>
      <c r="DL3" s="17">
        <v>0</v>
      </c>
      <c r="DM3" s="17" t="s">
        <v>105</v>
      </c>
      <c r="DN3">
        <f t="shared" si="0"/>
        <v>9</v>
      </c>
      <c r="DO3" s="8">
        <f t="shared" si="1"/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1FFA-35E3-4573-AF23-71AE057F5B82}">
  <dimension ref="A1:D13"/>
  <sheetViews>
    <sheetView workbookViewId="0">
      <selection activeCell="F12" sqref="F12"/>
    </sheetView>
  </sheetViews>
  <sheetFormatPr defaultRowHeight="14.4" x14ac:dyDescent="0.3"/>
  <cols>
    <col min="4" max="4" width="15.88671875" customWidth="1"/>
  </cols>
  <sheetData>
    <row r="1" spans="1:4" ht="28.8" x14ac:dyDescent="0.3">
      <c r="A1" s="16" t="s">
        <v>0</v>
      </c>
      <c r="B1" s="16" t="s">
        <v>57</v>
      </c>
      <c r="C1" s="16" t="s">
        <v>58</v>
      </c>
      <c r="D1" s="16" t="s">
        <v>59</v>
      </c>
    </row>
    <row r="2" spans="1:4" ht="28.8" x14ac:dyDescent="0.3">
      <c r="A2" s="10" t="s">
        <v>28</v>
      </c>
      <c r="B2" s="12">
        <v>0.33</v>
      </c>
      <c r="C2" s="12">
        <v>0.48</v>
      </c>
      <c r="D2" s="15">
        <v>15</v>
      </c>
    </row>
    <row r="3" spans="1:4" ht="28.8" x14ac:dyDescent="0.3">
      <c r="A3" s="10" t="s">
        <v>25</v>
      </c>
      <c r="B3" s="12">
        <v>0.37</v>
      </c>
      <c r="C3" s="12">
        <v>0.27</v>
      </c>
      <c r="D3" s="15">
        <v>-10</v>
      </c>
    </row>
    <row r="6" spans="1:4" x14ac:dyDescent="0.3">
      <c r="A6" s="16" t="s">
        <v>0</v>
      </c>
      <c r="B6" s="16" t="s">
        <v>57</v>
      </c>
      <c r="C6" s="16" t="s">
        <v>58</v>
      </c>
      <c r="D6" s="16" t="s">
        <v>59</v>
      </c>
    </row>
    <row r="7" spans="1:4" ht="28.8" x14ac:dyDescent="0.3">
      <c r="A7" s="10" t="s">
        <v>28</v>
      </c>
      <c r="B7" s="12">
        <v>0.64</v>
      </c>
      <c r="C7" s="12">
        <v>0.65</v>
      </c>
      <c r="D7" s="15">
        <v>1</v>
      </c>
    </row>
    <row r="8" spans="1:4" ht="28.8" x14ac:dyDescent="0.3">
      <c r="A8" s="10" t="s">
        <v>25</v>
      </c>
      <c r="B8" s="12">
        <v>0.71</v>
      </c>
      <c r="C8" s="12">
        <v>0.4</v>
      </c>
      <c r="D8" s="15">
        <v>-31</v>
      </c>
    </row>
    <row r="11" spans="1:4" x14ac:dyDescent="0.3">
      <c r="A11" s="16" t="s">
        <v>0</v>
      </c>
      <c r="B11" s="16" t="s">
        <v>57</v>
      </c>
      <c r="C11" s="16" t="s">
        <v>58</v>
      </c>
      <c r="D11" s="16" t="s">
        <v>59</v>
      </c>
    </row>
    <row r="12" spans="1:4" ht="28.8" x14ac:dyDescent="0.3">
      <c r="A12" s="10" t="s">
        <v>28</v>
      </c>
      <c r="B12" s="12">
        <v>0.6</v>
      </c>
      <c r="C12" s="12">
        <v>0.47</v>
      </c>
      <c r="D12" s="15">
        <v>-13</v>
      </c>
    </row>
    <row r="13" spans="1:4" ht="28.8" x14ac:dyDescent="0.3">
      <c r="A13" s="10" t="s">
        <v>25</v>
      </c>
      <c r="B13" s="12">
        <v>0.38</v>
      </c>
      <c r="C13" s="12">
        <v>0.32</v>
      </c>
      <c r="D13" s="15">
        <v>-6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204D-7438-4349-9FF6-99AE438C080F}">
  <dimension ref="A1:W43"/>
  <sheetViews>
    <sheetView workbookViewId="0">
      <selection activeCell="F10" sqref="F10"/>
    </sheetView>
  </sheetViews>
  <sheetFormatPr defaultRowHeight="14.4" x14ac:dyDescent="0.3"/>
  <cols>
    <col min="1" max="1" width="30.21875" customWidth="1"/>
    <col min="5" max="5" width="8.88671875" customWidth="1"/>
    <col min="6" max="6" width="33.109375" customWidth="1"/>
    <col min="7" max="7" width="13.6640625" customWidth="1"/>
    <col min="8" max="8" width="14.77734375" customWidth="1"/>
    <col min="11" max="11" width="25.77734375" customWidth="1"/>
  </cols>
  <sheetData>
    <row r="1" spans="1:23" ht="23.4" x14ac:dyDescent="0.45">
      <c r="A1" s="30" t="s">
        <v>172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4" spans="1:23" ht="21" x14ac:dyDescent="0.3">
      <c r="A4" s="28" t="s">
        <v>173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5"/>
      <c r="W4" s="25"/>
    </row>
    <row r="6" spans="1:23" ht="28.8" x14ac:dyDescent="0.3">
      <c r="C6" s="20" t="s">
        <v>2</v>
      </c>
      <c r="D6" s="21" t="s">
        <v>161</v>
      </c>
      <c r="E6" s="20" t="s">
        <v>162</v>
      </c>
      <c r="F6" s="20" t="s">
        <v>163</v>
      </c>
    </row>
    <row r="7" spans="1:23" x14ac:dyDescent="0.3">
      <c r="C7" s="10" t="s">
        <v>6</v>
      </c>
      <c r="D7" s="10">
        <v>15</v>
      </c>
      <c r="E7" s="10">
        <v>9</v>
      </c>
      <c r="F7" s="12">
        <v>0.6</v>
      </c>
    </row>
    <row r="8" spans="1:23" ht="28.8" x14ac:dyDescent="0.3">
      <c r="C8" s="10" t="s">
        <v>7</v>
      </c>
      <c r="D8" s="10">
        <v>15</v>
      </c>
      <c r="E8" s="10">
        <v>7</v>
      </c>
      <c r="F8" s="12">
        <v>0.47</v>
      </c>
    </row>
    <row r="9" spans="1:23" x14ac:dyDescent="0.3">
      <c r="C9" s="10" t="s">
        <v>8</v>
      </c>
      <c r="D9" s="10">
        <v>15</v>
      </c>
      <c r="E9" s="10">
        <v>6</v>
      </c>
      <c r="F9" s="12">
        <v>0.4</v>
      </c>
    </row>
    <row r="10" spans="1:23" x14ac:dyDescent="0.3">
      <c r="C10" s="22" t="s">
        <v>164</v>
      </c>
      <c r="D10" s="23">
        <v>45</v>
      </c>
      <c r="E10" s="23">
        <v>22</v>
      </c>
      <c r="F10" s="24">
        <v>0.49</v>
      </c>
    </row>
    <row r="13" spans="1:23" ht="21" x14ac:dyDescent="0.3">
      <c r="A13" s="28" t="s">
        <v>175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5" spans="1:23" ht="23.4" x14ac:dyDescent="0.3">
      <c r="A15" s="29" t="s">
        <v>6</v>
      </c>
      <c r="B15" s="29"/>
      <c r="C15" s="29"/>
      <c r="D15" s="29"/>
      <c r="F15" s="26" t="s">
        <v>7</v>
      </c>
      <c r="G15" s="26"/>
      <c r="H15" s="26"/>
      <c r="I15" s="26"/>
      <c r="K15" s="26" t="s">
        <v>8</v>
      </c>
      <c r="L15" s="26"/>
      <c r="M15" s="26"/>
      <c r="N15" s="26"/>
    </row>
    <row r="16" spans="1:23" x14ac:dyDescent="0.3">
      <c r="A16" s="20" t="s">
        <v>165</v>
      </c>
      <c r="B16" s="20" t="s">
        <v>166</v>
      </c>
      <c r="C16" s="20" t="s">
        <v>167</v>
      </c>
      <c r="D16" s="20" t="s">
        <v>168</v>
      </c>
      <c r="F16" s="20" t="s">
        <v>165</v>
      </c>
      <c r="G16" s="20" t="s">
        <v>166</v>
      </c>
      <c r="H16" s="20" t="s">
        <v>167</v>
      </c>
      <c r="I16" s="20" t="s">
        <v>168</v>
      </c>
      <c r="K16" s="20" t="s">
        <v>165</v>
      </c>
      <c r="L16" s="20" t="s">
        <v>166</v>
      </c>
      <c r="M16" s="20" t="s">
        <v>167</v>
      </c>
      <c r="N16" s="20" t="s">
        <v>168</v>
      </c>
    </row>
    <row r="17" spans="1:21" x14ac:dyDescent="0.3">
      <c r="A17" s="10" t="s">
        <v>169</v>
      </c>
      <c r="B17" s="10">
        <v>6</v>
      </c>
      <c r="C17" s="10">
        <v>4</v>
      </c>
      <c r="D17" s="12">
        <v>0.67</v>
      </c>
      <c r="F17" s="10" t="s">
        <v>169</v>
      </c>
      <c r="G17" s="10">
        <v>4</v>
      </c>
      <c r="H17" s="10">
        <v>3</v>
      </c>
      <c r="I17" s="12">
        <v>0.75</v>
      </c>
      <c r="K17" s="10" t="s">
        <v>169</v>
      </c>
      <c r="L17" s="10">
        <v>3</v>
      </c>
      <c r="M17" s="10">
        <v>2</v>
      </c>
      <c r="N17" s="12">
        <v>0.67</v>
      </c>
    </row>
    <row r="18" spans="1:21" x14ac:dyDescent="0.3">
      <c r="A18" s="10" t="s">
        <v>170</v>
      </c>
      <c r="B18" s="10">
        <v>6</v>
      </c>
      <c r="C18" s="10">
        <v>4</v>
      </c>
      <c r="D18" s="12">
        <v>0.67</v>
      </c>
      <c r="F18" s="10" t="s">
        <v>170</v>
      </c>
      <c r="G18" s="10">
        <v>6</v>
      </c>
      <c r="H18" s="10">
        <v>3</v>
      </c>
      <c r="I18" s="12">
        <v>0.5</v>
      </c>
      <c r="K18" s="10" t="s">
        <v>170</v>
      </c>
      <c r="L18" s="10">
        <v>6</v>
      </c>
      <c r="M18" s="10">
        <v>2</v>
      </c>
      <c r="N18" s="12">
        <v>0.33</v>
      </c>
    </row>
    <row r="19" spans="1:21" x14ac:dyDescent="0.3">
      <c r="A19" s="10" t="s">
        <v>171</v>
      </c>
      <c r="B19" s="10">
        <v>3</v>
      </c>
      <c r="C19" s="10">
        <v>2</v>
      </c>
      <c r="D19" s="12">
        <v>0.67</v>
      </c>
      <c r="F19" s="10" t="s">
        <v>171</v>
      </c>
      <c r="G19" s="10">
        <v>5</v>
      </c>
      <c r="H19" s="10">
        <v>1</v>
      </c>
      <c r="I19" s="12">
        <v>0.2</v>
      </c>
      <c r="K19" s="10" t="s">
        <v>171</v>
      </c>
      <c r="L19" s="10">
        <v>6</v>
      </c>
      <c r="M19" s="10">
        <v>2</v>
      </c>
      <c r="N19" s="12">
        <v>0.33</v>
      </c>
    </row>
    <row r="23" spans="1:21" ht="21" x14ac:dyDescent="0.4">
      <c r="A23" s="27" t="s">
        <v>176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7" spans="1:21" ht="23.4" x14ac:dyDescent="0.3">
      <c r="A27" s="29" t="s">
        <v>6</v>
      </c>
      <c r="B27" s="29"/>
      <c r="C27" s="29"/>
      <c r="D27" s="29"/>
      <c r="F27" s="26" t="s">
        <v>7</v>
      </c>
      <c r="G27" s="26"/>
      <c r="H27" s="26"/>
      <c r="I27" s="26"/>
      <c r="K27" s="26" t="s">
        <v>8</v>
      </c>
      <c r="L27" s="26"/>
      <c r="M27" s="26"/>
      <c r="N27" s="26"/>
    </row>
    <row r="28" spans="1:21" x14ac:dyDescent="0.3">
      <c r="A28" s="20" t="s">
        <v>177</v>
      </c>
      <c r="B28" s="20" t="s">
        <v>178</v>
      </c>
      <c r="C28" s="20" t="s">
        <v>167</v>
      </c>
      <c r="D28" s="20" t="s">
        <v>168</v>
      </c>
      <c r="F28" s="20" t="s">
        <v>177</v>
      </c>
      <c r="G28" s="20" t="s">
        <v>178</v>
      </c>
      <c r="H28" s="20" t="s">
        <v>167</v>
      </c>
      <c r="I28" s="20" t="s">
        <v>168</v>
      </c>
      <c r="K28" s="20" t="s">
        <v>177</v>
      </c>
      <c r="L28" s="20" t="s">
        <v>178</v>
      </c>
      <c r="M28" s="20" t="s">
        <v>167</v>
      </c>
      <c r="N28" s="20" t="s">
        <v>168</v>
      </c>
    </row>
    <row r="29" spans="1:21" x14ac:dyDescent="0.3">
      <c r="A29" s="10" t="s">
        <v>179</v>
      </c>
      <c r="B29" s="10">
        <v>1</v>
      </c>
      <c r="C29" s="10">
        <v>0</v>
      </c>
      <c r="D29" s="12">
        <v>0</v>
      </c>
      <c r="F29" s="10" t="s">
        <v>106</v>
      </c>
      <c r="G29" s="10">
        <v>2</v>
      </c>
      <c r="H29" s="10">
        <v>1</v>
      </c>
      <c r="I29" s="12">
        <v>0.5</v>
      </c>
      <c r="K29" s="10" t="s">
        <v>200</v>
      </c>
      <c r="L29" s="10">
        <v>1</v>
      </c>
      <c r="M29" s="10">
        <v>1</v>
      </c>
      <c r="N29" s="12">
        <v>1</v>
      </c>
    </row>
    <row r="30" spans="1:21" x14ac:dyDescent="0.3">
      <c r="A30" s="10" t="s">
        <v>180</v>
      </c>
      <c r="B30" s="10">
        <v>1</v>
      </c>
      <c r="C30" s="10">
        <v>1</v>
      </c>
      <c r="D30" s="12">
        <v>1</v>
      </c>
      <c r="F30" s="10" t="s">
        <v>108</v>
      </c>
      <c r="G30" s="10">
        <v>3</v>
      </c>
      <c r="H30" s="10">
        <v>1</v>
      </c>
      <c r="I30" s="12">
        <v>0.33</v>
      </c>
      <c r="K30" s="10" t="s">
        <v>201</v>
      </c>
      <c r="L30" s="10">
        <v>1</v>
      </c>
      <c r="M30" s="10">
        <v>1</v>
      </c>
      <c r="N30" s="12">
        <v>1</v>
      </c>
    </row>
    <row r="31" spans="1:21" x14ac:dyDescent="0.3">
      <c r="A31" s="10" t="s">
        <v>181</v>
      </c>
      <c r="B31" s="10">
        <v>2</v>
      </c>
      <c r="C31" s="10">
        <v>1</v>
      </c>
      <c r="D31" s="12">
        <v>0.5</v>
      </c>
      <c r="F31" s="10" t="s">
        <v>192</v>
      </c>
      <c r="G31" s="10">
        <v>1</v>
      </c>
      <c r="H31" s="10">
        <v>1</v>
      </c>
      <c r="I31" s="12">
        <v>1</v>
      </c>
      <c r="K31" s="10" t="s">
        <v>75</v>
      </c>
      <c r="L31" s="10">
        <v>1</v>
      </c>
      <c r="M31" s="10">
        <v>0</v>
      </c>
      <c r="N31" s="12">
        <v>0</v>
      </c>
    </row>
    <row r="32" spans="1:21" x14ac:dyDescent="0.3">
      <c r="A32" s="10" t="s">
        <v>182</v>
      </c>
      <c r="B32" s="10">
        <v>1</v>
      </c>
      <c r="C32" s="10">
        <v>1</v>
      </c>
      <c r="D32" s="12">
        <v>1</v>
      </c>
      <c r="F32" s="10" t="s">
        <v>193</v>
      </c>
      <c r="G32" s="10">
        <v>1</v>
      </c>
      <c r="H32" s="10">
        <v>1</v>
      </c>
      <c r="I32" s="12">
        <v>1</v>
      </c>
      <c r="K32" s="10" t="s">
        <v>79</v>
      </c>
      <c r="L32" s="10">
        <v>1</v>
      </c>
      <c r="M32" s="10">
        <v>1</v>
      </c>
      <c r="N32" s="12">
        <v>1</v>
      </c>
    </row>
    <row r="33" spans="1:14" x14ac:dyDescent="0.3">
      <c r="A33" s="10" t="s">
        <v>183</v>
      </c>
      <c r="B33" s="10">
        <v>2</v>
      </c>
      <c r="C33" s="10">
        <v>2</v>
      </c>
      <c r="D33" s="12">
        <v>1</v>
      </c>
      <c r="F33" s="10" t="s">
        <v>194</v>
      </c>
      <c r="G33" s="10">
        <v>1</v>
      </c>
      <c r="H33" s="10">
        <v>0</v>
      </c>
      <c r="I33" s="12">
        <v>0</v>
      </c>
      <c r="K33" s="10" t="s">
        <v>81</v>
      </c>
      <c r="L33" s="10">
        <v>1</v>
      </c>
      <c r="M33" s="10">
        <v>0</v>
      </c>
      <c r="N33" s="12">
        <v>0</v>
      </c>
    </row>
    <row r="34" spans="1:14" x14ac:dyDescent="0.3">
      <c r="A34" s="10" t="s">
        <v>184</v>
      </c>
      <c r="B34" s="10">
        <v>1</v>
      </c>
      <c r="C34" s="10">
        <v>1</v>
      </c>
      <c r="D34" s="12">
        <v>1</v>
      </c>
      <c r="F34" s="10" t="s">
        <v>118</v>
      </c>
      <c r="G34" s="10">
        <v>1</v>
      </c>
      <c r="H34" s="10">
        <v>1</v>
      </c>
      <c r="I34" s="12">
        <v>1</v>
      </c>
      <c r="K34" s="10" t="s">
        <v>83</v>
      </c>
      <c r="L34" s="10">
        <v>1</v>
      </c>
      <c r="M34" s="10">
        <v>0</v>
      </c>
      <c r="N34" s="12">
        <v>0</v>
      </c>
    </row>
    <row r="35" spans="1:14" x14ac:dyDescent="0.3">
      <c r="A35" s="10" t="s">
        <v>185</v>
      </c>
      <c r="B35" s="10">
        <v>1</v>
      </c>
      <c r="C35" s="10">
        <v>1</v>
      </c>
      <c r="D35" s="12">
        <v>1</v>
      </c>
      <c r="F35" s="10" t="s">
        <v>195</v>
      </c>
      <c r="G35" s="10">
        <v>1</v>
      </c>
      <c r="H35" s="10">
        <v>0</v>
      </c>
      <c r="I35" s="12">
        <v>0</v>
      </c>
      <c r="K35" s="10" t="s">
        <v>202</v>
      </c>
      <c r="L35" s="10">
        <v>1</v>
      </c>
      <c r="M35" s="10">
        <v>1</v>
      </c>
      <c r="N35" s="12">
        <v>1</v>
      </c>
    </row>
    <row r="36" spans="1:14" x14ac:dyDescent="0.3">
      <c r="A36" s="10" t="s">
        <v>186</v>
      </c>
      <c r="B36" s="10">
        <v>1</v>
      </c>
      <c r="C36" s="10">
        <v>1</v>
      </c>
      <c r="D36" s="12">
        <v>1</v>
      </c>
      <c r="F36" s="10" t="s">
        <v>122</v>
      </c>
      <c r="G36" s="10">
        <v>1</v>
      </c>
      <c r="H36" s="10">
        <v>1</v>
      </c>
      <c r="I36" s="12">
        <v>1</v>
      </c>
      <c r="K36" s="10" t="s">
        <v>203</v>
      </c>
      <c r="L36" s="10">
        <v>1</v>
      </c>
      <c r="M36" s="10">
        <v>0</v>
      </c>
      <c r="N36" s="12">
        <v>0</v>
      </c>
    </row>
    <row r="37" spans="1:14" x14ac:dyDescent="0.3">
      <c r="A37" s="10" t="s">
        <v>187</v>
      </c>
      <c r="B37" s="10">
        <v>1</v>
      </c>
      <c r="C37" s="10">
        <v>0</v>
      </c>
      <c r="D37" s="12">
        <v>0</v>
      </c>
      <c r="F37" s="10" t="s">
        <v>196</v>
      </c>
      <c r="G37" s="10">
        <v>1</v>
      </c>
      <c r="H37" s="10">
        <v>0</v>
      </c>
      <c r="I37" s="12">
        <v>0</v>
      </c>
      <c r="K37" s="10" t="s">
        <v>204</v>
      </c>
      <c r="L37" s="10">
        <v>1</v>
      </c>
      <c r="M37" s="10">
        <v>0</v>
      </c>
      <c r="N37" s="12">
        <v>0</v>
      </c>
    </row>
    <row r="38" spans="1:14" x14ac:dyDescent="0.3">
      <c r="A38" s="10" t="s">
        <v>188</v>
      </c>
      <c r="B38" s="10">
        <v>1</v>
      </c>
      <c r="C38" s="10">
        <v>0</v>
      </c>
      <c r="D38" s="12">
        <v>0</v>
      </c>
      <c r="F38" s="10" t="s">
        <v>197</v>
      </c>
      <c r="G38" s="10">
        <v>1</v>
      </c>
      <c r="H38" s="10">
        <v>0</v>
      </c>
      <c r="I38" s="12">
        <v>0</v>
      </c>
      <c r="K38" s="10" t="s">
        <v>205</v>
      </c>
      <c r="L38" s="10">
        <v>1</v>
      </c>
      <c r="M38" s="10">
        <v>1</v>
      </c>
      <c r="N38" s="12">
        <v>1</v>
      </c>
    </row>
    <row r="39" spans="1:14" x14ac:dyDescent="0.3">
      <c r="A39" s="10" t="s">
        <v>189</v>
      </c>
      <c r="B39" s="10">
        <v>1</v>
      </c>
      <c r="C39" s="10">
        <v>1</v>
      </c>
      <c r="D39" s="12">
        <v>1</v>
      </c>
      <c r="F39" s="10" t="s">
        <v>198</v>
      </c>
      <c r="G39" s="10">
        <v>1</v>
      </c>
      <c r="H39" s="10">
        <v>0</v>
      </c>
      <c r="I39" s="12">
        <v>0</v>
      </c>
      <c r="K39" s="10" t="s">
        <v>206</v>
      </c>
      <c r="L39" s="10">
        <v>1</v>
      </c>
      <c r="M39" s="10">
        <v>0</v>
      </c>
      <c r="N39" s="12">
        <v>0</v>
      </c>
    </row>
    <row r="40" spans="1:14" x14ac:dyDescent="0.3">
      <c r="A40" s="10" t="s">
        <v>190</v>
      </c>
      <c r="B40" s="10">
        <v>1</v>
      </c>
      <c r="C40" s="10">
        <v>0</v>
      </c>
      <c r="D40" s="12">
        <v>0</v>
      </c>
      <c r="F40" s="10" t="s">
        <v>199</v>
      </c>
      <c r="G40" s="10">
        <v>1</v>
      </c>
      <c r="H40" s="10">
        <v>1</v>
      </c>
      <c r="I40" s="12">
        <v>1</v>
      </c>
      <c r="K40" s="10" t="s">
        <v>207</v>
      </c>
      <c r="L40" s="10">
        <v>1</v>
      </c>
      <c r="M40" s="10">
        <v>0</v>
      </c>
      <c r="N40" s="12">
        <v>0</v>
      </c>
    </row>
    <row r="41" spans="1:14" x14ac:dyDescent="0.3">
      <c r="A41" s="10" t="s">
        <v>191</v>
      </c>
      <c r="B41" s="10">
        <v>1</v>
      </c>
      <c r="C41" s="10">
        <v>0</v>
      </c>
      <c r="D41" s="12">
        <v>0</v>
      </c>
      <c r="K41" s="10" t="s">
        <v>208</v>
      </c>
      <c r="L41" s="10">
        <v>1</v>
      </c>
      <c r="M41" s="10">
        <v>0</v>
      </c>
      <c r="N41" s="12">
        <v>0</v>
      </c>
    </row>
    <row r="42" spans="1:14" x14ac:dyDescent="0.3">
      <c r="K42" s="10" t="s">
        <v>100</v>
      </c>
      <c r="L42" s="10">
        <v>1</v>
      </c>
      <c r="M42" s="10">
        <v>0</v>
      </c>
      <c r="N42" s="12">
        <v>0</v>
      </c>
    </row>
    <row r="43" spans="1:14" x14ac:dyDescent="0.3">
      <c r="K43" s="10" t="s">
        <v>209</v>
      </c>
      <c r="L43" s="10">
        <v>1</v>
      </c>
      <c r="M43" s="10">
        <v>1</v>
      </c>
      <c r="N43" s="12">
        <v>1</v>
      </c>
    </row>
  </sheetData>
  <mergeCells count="10">
    <mergeCell ref="A1:W1"/>
    <mergeCell ref="A13:U13"/>
    <mergeCell ref="F15:I15"/>
    <mergeCell ref="A15:D15"/>
    <mergeCell ref="K15:N15"/>
    <mergeCell ref="A23:U23"/>
    <mergeCell ref="A4:U4"/>
    <mergeCell ref="A27:D27"/>
    <mergeCell ref="F27:I27"/>
    <mergeCell ref="K27:N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B81A-D14A-4BB2-987F-F2E8BFAA349F}">
  <dimension ref="A1:DO81"/>
  <sheetViews>
    <sheetView topLeftCell="CS4" workbookViewId="0">
      <selection activeCell="CS6" sqref="CS6:DO6"/>
    </sheetView>
  </sheetViews>
  <sheetFormatPr defaultRowHeight="14.4" x14ac:dyDescent="0.3"/>
  <cols>
    <col min="97" max="97" width="21.44140625" customWidth="1"/>
    <col min="102" max="102" width="17.77734375" customWidth="1"/>
    <col min="107" max="107" width="21" customWidth="1"/>
  </cols>
  <sheetData>
    <row r="1" spans="1:119" ht="259.2" x14ac:dyDescent="0.3">
      <c r="A1" s="17">
        <v>541</v>
      </c>
      <c r="B1" s="17" t="s">
        <v>60</v>
      </c>
      <c r="C1" s="17" t="s">
        <v>61</v>
      </c>
      <c r="D1" s="17" t="s">
        <v>210</v>
      </c>
      <c r="E1" s="10" t="s">
        <v>17</v>
      </c>
      <c r="F1" s="17" t="s">
        <v>216</v>
      </c>
      <c r="G1" s="17">
        <v>7</v>
      </c>
      <c r="H1" s="17" t="s">
        <v>64</v>
      </c>
      <c r="I1" s="10" t="s">
        <v>217</v>
      </c>
      <c r="J1" s="17">
        <v>17</v>
      </c>
      <c r="K1" s="17">
        <v>28</v>
      </c>
      <c r="L1" s="17" t="s">
        <v>6</v>
      </c>
      <c r="M1" s="17" t="s">
        <v>133</v>
      </c>
      <c r="N1" s="17" t="s">
        <v>67</v>
      </c>
      <c r="O1" s="17" t="s">
        <v>68</v>
      </c>
      <c r="P1" s="17" t="s">
        <v>69</v>
      </c>
      <c r="Q1" s="10" t="s">
        <v>134</v>
      </c>
      <c r="R1" s="17">
        <v>1</v>
      </c>
      <c r="S1" s="17" t="s">
        <v>69</v>
      </c>
      <c r="T1" s="17" t="s">
        <v>135</v>
      </c>
      <c r="U1" s="10" t="s">
        <v>78</v>
      </c>
      <c r="V1" s="17" t="s">
        <v>68</v>
      </c>
      <c r="W1" s="17" t="s">
        <v>69</v>
      </c>
      <c r="X1" s="10" t="s">
        <v>136</v>
      </c>
      <c r="Y1" s="17">
        <v>1</v>
      </c>
      <c r="Z1" s="17" t="s">
        <v>69</v>
      </c>
      <c r="AA1" s="17" t="s">
        <v>137</v>
      </c>
      <c r="AB1" s="10" t="s">
        <v>78</v>
      </c>
      <c r="AC1" s="17" t="s">
        <v>68</v>
      </c>
      <c r="AD1" s="17" t="s">
        <v>74</v>
      </c>
      <c r="AE1" s="10" t="s">
        <v>138</v>
      </c>
      <c r="AF1" s="17">
        <v>1</v>
      </c>
      <c r="AG1" s="17" t="s">
        <v>74</v>
      </c>
      <c r="AH1" s="17" t="s">
        <v>139</v>
      </c>
      <c r="AI1" s="17" t="s">
        <v>67</v>
      </c>
      <c r="AJ1" s="17" t="s">
        <v>68</v>
      </c>
      <c r="AK1" s="17" t="s">
        <v>69</v>
      </c>
      <c r="AL1" s="10" t="s">
        <v>140</v>
      </c>
      <c r="AM1" s="17">
        <v>0</v>
      </c>
      <c r="AN1" s="17" t="s">
        <v>76</v>
      </c>
      <c r="AO1" s="17" t="s">
        <v>141</v>
      </c>
      <c r="AP1" s="10" t="s">
        <v>78</v>
      </c>
      <c r="AQ1" s="17" t="s">
        <v>68</v>
      </c>
      <c r="AR1" s="17" t="s">
        <v>76</v>
      </c>
      <c r="AS1" s="10" t="s">
        <v>142</v>
      </c>
      <c r="AT1" s="17">
        <v>0</v>
      </c>
      <c r="AU1" s="17" t="s">
        <v>74</v>
      </c>
      <c r="AV1" s="17" t="s">
        <v>143</v>
      </c>
      <c r="AW1" s="17" t="s">
        <v>67</v>
      </c>
      <c r="AX1" s="17" t="s">
        <v>68</v>
      </c>
      <c r="AY1" s="17" t="s">
        <v>105</v>
      </c>
      <c r="AZ1" s="10" t="s">
        <v>144</v>
      </c>
      <c r="BA1" s="17">
        <v>0</v>
      </c>
      <c r="BB1" s="17" t="s">
        <v>69</v>
      </c>
      <c r="BC1" s="17" t="s">
        <v>145</v>
      </c>
      <c r="BD1" s="10" t="s">
        <v>78</v>
      </c>
      <c r="BE1" s="17" t="s">
        <v>68</v>
      </c>
      <c r="BF1" s="17" t="s">
        <v>69</v>
      </c>
      <c r="BG1" s="10" t="s">
        <v>146</v>
      </c>
      <c r="BH1" s="17">
        <v>1</v>
      </c>
      <c r="BI1" s="17" t="s">
        <v>69</v>
      </c>
      <c r="BJ1" s="17" t="s">
        <v>147</v>
      </c>
      <c r="BK1" s="10" t="s">
        <v>78</v>
      </c>
      <c r="BL1" s="17" t="s">
        <v>68</v>
      </c>
      <c r="BM1" s="17" t="s">
        <v>74</v>
      </c>
      <c r="BN1" s="10" t="s">
        <v>148</v>
      </c>
      <c r="BO1" s="17">
        <v>1</v>
      </c>
      <c r="BP1" s="17" t="s">
        <v>74</v>
      </c>
      <c r="BQ1" s="17" t="s">
        <v>149</v>
      </c>
      <c r="BR1" s="10" t="s">
        <v>93</v>
      </c>
      <c r="BS1" s="17" t="s">
        <v>68</v>
      </c>
      <c r="BT1" s="17" t="s">
        <v>74</v>
      </c>
      <c r="BU1" s="10" t="s">
        <v>142</v>
      </c>
      <c r="BV1" s="17">
        <v>1</v>
      </c>
      <c r="BW1" s="17" t="s">
        <v>74</v>
      </c>
      <c r="BX1" s="17" t="s">
        <v>150</v>
      </c>
      <c r="BY1" s="10" t="s">
        <v>93</v>
      </c>
      <c r="BZ1" s="17" t="s">
        <v>68</v>
      </c>
      <c r="CA1" s="17" t="s">
        <v>105</v>
      </c>
      <c r="CB1" s="10" t="s">
        <v>138</v>
      </c>
      <c r="CC1" s="17">
        <v>1</v>
      </c>
      <c r="CD1" s="17" t="s">
        <v>105</v>
      </c>
      <c r="CE1" s="17" t="s">
        <v>151</v>
      </c>
      <c r="CF1" s="10" t="s">
        <v>78</v>
      </c>
      <c r="CG1" s="17" t="s">
        <v>68</v>
      </c>
      <c r="CH1" s="17" t="s">
        <v>69</v>
      </c>
      <c r="CI1" s="17" t="s">
        <v>152</v>
      </c>
      <c r="CJ1" s="17">
        <v>1</v>
      </c>
      <c r="CK1" s="17" t="s">
        <v>69</v>
      </c>
      <c r="CL1" s="17" t="s">
        <v>153</v>
      </c>
      <c r="CM1" s="17" t="s">
        <v>67</v>
      </c>
      <c r="CN1" s="17" t="s">
        <v>68</v>
      </c>
      <c r="CO1" s="17" t="s">
        <v>76</v>
      </c>
      <c r="CP1" s="17" t="s">
        <v>154</v>
      </c>
      <c r="CQ1" s="17">
        <v>0</v>
      </c>
      <c r="CR1" s="17" t="s">
        <v>69</v>
      </c>
      <c r="CS1" s="17" t="s">
        <v>155</v>
      </c>
      <c r="CT1" s="17" t="s">
        <v>67</v>
      </c>
      <c r="CU1" s="17" t="s">
        <v>68</v>
      </c>
      <c r="CV1" s="17" t="s">
        <v>74</v>
      </c>
      <c r="CW1" s="17" t="s">
        <v>156</v>
      </c>
      <c r="CX1" s="17">
        <v>0</v>
      </c>
      <c r="CY1" s="17" t="s">
        <v>69</v>
      </c>
      <c r="CZ1" s="17" t="s">
        <v>157</v>
      </c>
      <c r="DA1" s="10" t="s">
        <v>78</v>
      </c>
      <c r="DB1" s="17" t="s">
        <v>68</v>
      </c>
      <c r="DC1" s="17" t="s">
        <v>69</v>
      </c>
      <c r="DD1" s="17" t="s">
        <v>158</v>
      </c>
      <c r="DE1" s="17">
        <v>0</v>
      </c>
      <c r="DF1" s="17" t="s">
        <v>76</v>
      </c>
      <c r="DG1" s="17" t="s">
        <v>159</v>
      </c>
      <c r="DH1" s="17" t="s">
        <v>67</v>
      </c>
      <c r="DI1" s="17" t="s">
        <v>68</v>
      </c>
      <c r="DJ1" s="17" t="s">
        <v>74</v>
      </c>
      <c r="DK1" s="17" t="s">
        <v>160</v>
      </c>
      <c r="DL1" s="17">
        <v>0</v>
      </c>
      <c r="DM1" s="17" t="s">
        <v>76</v>
      </c>
      <c r="DN1">
        <f t="shared" ref="DN1:DN3" si="0">SUM(DL1,DE1,CX1,CQ1,CJ1,CC1,BV1,BO1,BH1,BA1,AT1,AM1,AF1,Y1,R1)</f>
        <v>8</v>
      </c>
      <c r="DO1" s="8">
        <f t="shared" ref="DO1:DO3" si="1">DN1/15</f>
        <v>0.53333333333333333</v>
      </c>
    </row>
    <row r="2" spans="1:119" ht="100.8" x14ac:dyDescent="0.3">
      <c r="A2" s="17">
        <v>541</v>
      </c>
      <c r="B2" s="17" t="s">
        <v>60</v>
      </c>
      <c r="C2" s="17" t="s">
        <v>61</v>
      </c>
      <c r="D2" s="17" t="s">
        <v>210</v>
      </c>
      <c r="E2" s="10" t="s">
        <v>17</v>
      </c>
      <c r="F2" s="17" t="s">
        <v>216</v>
      </c>
      <c r="G2" s="17">
        <v>7</v>
      </c>
      <c r="H2" s="17" t="s">
        <v>64</v>
      </c>
      <c r="I2" s="10" t="s">
        <v>218</v>
      </c>
      <c r="J2" s="17">
        <v>11</v>
      </c>
      <c r="K2" s="17">
        <v>28</v>
      </c>
      <c r="L2" s="17" t="s">
        <v>7</v>
      </c>
      <c r="M2" s="17" t="s">
        <v>104</v>
      </c>
      <c r="N2" s="10" t="s">
        <v>93</v>
      </c>
      <c r="O2" s="17" t="s">
        <v>68</v>
      </c>
      <c r="P2" s="17" t="s">
        <v>105</v>
      </c>
      <c r="Q2" s="10" t="s">
        <v>106</v>
      </c>
      <c r="R2" s="17">
        <v>0</v>
      </c>
      <c r="S2" s="17" t="s">
        <v>213</v>
      </c>
      <c r="T2" s="17" t="s">
        <v>107</v>
      </c>
      <c r="U2" s="10" t="s">
        <v>78</v>
      </c>
      <c r="V2" s="17" t="s">
        <v>68</v>
      </c>
      <c r="W2" s="17" t="s">
        <v>105</v>
      </c>
      <c r="X2" s="10" t="s">
        <v>108</v>
      </c>
      <c r="Y2" s="17">
        <v>0</v>
      </c>
      <c r="Z2" s="17" t="s">
        <v>74</v>
      </c>
      <c r="AA2" s="17" t="s">
        <v>109</v>
      </c>
      <c r="AB2" s="10" t="s">
        <v>78</v>
      </c>
      <c r="AC2" s="17" t="s">
        <v>68</v>
      </c>
      <c r="AD2" s="17" t="s">
        <v>69</v>
      </c>
      <c r="AE2" s="10" t="s">
        <v>108</v>
      </c>
      <c r="AF2" s="17">
        <v>0</v>
      </c>
      <c r="AG2" s="17" t="s">
        <v>76</v>
      </c>
      <c r="AH2" s="17" t="s">
        <v>110</v>
      </c>
      <c r="AI2" s="10" t="s">
        <v>93</v>
      </c>
      <c r="AJ2" s="17" t="s">
        <v>68</v>
      </c>
      <c r="AK2" s="17" t="s">
        <v>69</v>
      </c>
      <c r="AL2" s="10" t="s">
        <v>108</v>
      </c>
      <c r="AM2" s="17">
        <v>0</v>
      </c>
      <c r="AN2" s="17" t="s">
        <v>76</v>
      </c>
      <c r="AO2" s="17" t="s">
        <v>111</v>
      </c>
      <c r="AP2" s="17" t="s">
        <v>67</v>
      </c>
      <c r="AQ2" s="17" t="s">
        <v>68</v>
      </c>
      <c r="AR2" s="17" t="s">
        <v>76</v>
      </c>
      <c r="AS2" s="10" t="s">
        <v>112</v>
      </c>
      <c r="AT2" s="17">
        <v>0</v>
      </c>
      <c r="AU2" s="17" t="s">
        <v>213</v>
      </c>
      <c r="AV2" s="17" t="s">
        <v>113</v>
      </c>
      <c r="AW2" s="17" t="s">
        <v>67</v>
      </c>
      <c r="AX2" s="17" t="s">
        <v>68</v>
      </c>
      <c r="AY2" s="17" t="s">
        <v>69</v>
      </c>
      <c r="AZ2" s="10" t="s">
        <v>114</v>
      </c>
      <c r="BA2" s="17">
        <v>0</v>
      </c>
      <c r="BB2" s="17" t="s">
        <v>213</v>
      </c>
      <c r="BC2" s="17" t="s">
        <v>115</v>
      </c>
      <c r="BD2" s="17" t="s">
        <v>67</v>
      </c>
      <c r="BE2" s="17" t="s">
        <v>68</v>
      </c>
      <c r="BF2" s="17" t="s">
        <v>69</v>
      </c>
      <c r="BG2" s="10" t="s">
        <v>116</v>
      </c>
      <c r="BH2" s="17">
        <v>0</v>
      </c>
      <c r="BI2" s="17" t="s">
        <v>213</v>
      </c>
      <c r="BJ2" s="17" t="s">
        <v>117</v>
      </c>
      <c r="BK2" s="17" t="s">
        <v>67</v>
      </c>
      <c r="BL2" s="17" t="s">
        <v>68</v>
      </c>
      <c r="BM2" s="17" t="s">
        <v>76</v>
      </c>
      <c r="BN2" s="17" t="s">
        <v>118</v>
      </c>
      <c r="BO2" s="17">
        <v>0</v>
      </c>
      <c r="BP2" s="17" t="s">
        <v>213</v>
      </c>
      <c r="BQ2" s="17" t="s">
        <v>119</v>
      </c>
      <c r="BR2" s="10" t="s">
        <v>78</v>
      </c>
      <c r="BS2" s="17" t="s">
        <v>68</v>
      </c>
      <c r="BT2" s="17" t="s">
        <v>76</v>
      </c>
      <c r="BU2" s="10" t="s">
        <v>120</v>
      </c>
      <c r="BV2" s="17">
        <v>0</v>
      </c>
      <c r="BW2" s="17" t="s">
        <v>213</v>
      </c>
      <c r="BX2" s="17" t="s">
        <v>121</v>
      </c>
      <c r="BY2" s="10" t="s">
        <v>78</v>
      </c>
      <c r="BZ2" s="17" t="s">
        <v>68</v>
      </c>
      <c r="CA2" s="17" t="s">
        <v>74</v>
      </c>
      <c r="CB2" s="17" t="s">
        <v>122</v>
      </c>
      <c r="CC2" s="17">
        <v>0</v>
      </c>
      <c r="CD2" s="17" t="s">
        <v>213</v>
      </c>
      <c r="CE2" s="17" t="s">
        <v>123</v>
      </c>
      <c r="CF2" s="10" t="s">
        <v>78</v>
      </c>
      <c r="CG2" s="17" t="s">
        <v>68</v>
      </c>
      <c r="CH2" s="17" t="s">
        <v>74</v>
      </c>
      <c r="CI2" s="10" t="s">
        <v>106</v>
      </c>
      <c r="CJ2" s="17">
        <v>0</v>
      </c>
      <c r="CK2" s="17" t="s">
        <v>213</v>
      </c>
      <c r="CL2" s="17" t="s">
        <v>124</v>
      </c>
      <c r="CM2" s="10" t="s">
        <v>78</v>
      </c>
      <c r="CN2" s="17" t="s">
        <v>68</v>
      </c>
      <c r="CO2" s="17" t="s">
        <v>69</v>
      </c>
      <c r="CP2" s="10" t="s">
        <v>125</v>
      </c>
      <c r="CQ2" s="17">
        <v>1</v>
      </c>
      <c r="CR2" s="17" t="s">
        <v>69</v>
      </c>
      <c r="CS2" s="17" t="s">
        <v>126</v>
      </c>
      <c r="CT2" s="10" t="s">
        <v>78</v>
      </c>
      <c r="CU2" s="17" t="s">
        <v>68</v>
      </c>
      <c r="CV2" s="17" t="s">
        <v>74</v>
      </c>
      <c r="CW2" s="10" t="s">
        <v>127</v>
      </c>
      <c r="CX2" s="17">
        <v>0</v>
      </c>
      <c r="CY2" s="17" t="s">
        <v>213</v>
      </c>
      <c r="CZ2" s="17" t="s">
        <v>128</v>
      </c>
      <c r="DA2" s="10" t="s">
        <v>93</v>
      </c>
      <c r="DB2" s="17" t="s">
        <v>68</v>
      </c>
      <c r="DC2" s="17" t="s">
        <v>74</v>
      </c>
      <c r="DD2" s="10" t="s">
        <v>129</v>
      </c>
      <c r="DE2" s="17">
        <v>0</v>
      </c>
      <c r="DF2" s="17" t="s">
        <v>213</v>
      </c>
      <c r="DG2" s="17" t="s">
        <v>130</v>
      </c>
      <c r="DH2" s="10" t="s">
        <v>93</v>
      </c>
      <c r="DI2" s="17" t="s">
        <v>68</v>
      </c>
      <c r="DJ2" s="17" t="s">
        <v>69</v>
      </c>
      <c r="DK2" s="10" t="s">
        <v>131</v>
      </c>
      <c r="DL2" s="17">
        <v>0</v>
      </c>
      <c r="DM2" s="17" t="s">
        <v>213</v>
      </c>
      <c r="DN2">
        <f t="shared" si="0"/>
        <v>1</v>
      </c>
      <c r="DO2" s="8">
        <f t="shared" si="1"/>
        <v>6.6666666666666666E-2</v>
      </c>
    </row>
    <row r="3" spans="1:119" ht="129.6" x14ac:dyDescent="0.3">
      <c r="A3" s="17">
        <v>541</v>
      </c>
      <c r="B3" s="17" t="s">
        <v>60</v>
      </c>
      <c r="C3" s="17" t="s">
        <v>61</v>
      </c>
      <c r="D3" s="17" t="s">
        <v>210</v>
      </c>
      <c r="E3" s="10" t="s">
        <v>17</v>
      </c>
      <c r="F3" s="17" t="s">
        <v>216</v>
      </c>
      <c r="G3" s="17">
        <v>7</v>
      </c>
      <c r="H3" s="17" t="s">
        <v>64</v>
      </c>
      <c r="I3" s="10" t="s">
        <v>219</v>
      </c>
      <c r="J3" s="17">
        <v>11</v>
      </c>
      <c r="K3" s="17">
        <v>28</v>
      </c>
      <c r="L3" s="17" t="s">
        <v>8</v>
      </c>
      <c r="M3" s="17" t="s">
        <v>66</v>
      </c>
      <c r="N3" s="17" t="s">
        <v>67</v>
      </c>
      <c r="O3" s="17" t="s">
        <v>68</v>
      </c>
      <c r="P3" s="17" t="s">
        <v>69</v>
      </c>
      <c r="Q3" s="10" t="s">
        <v>70</v>
      </c>
      <c r="R3" s="17">
        <v>1</v>
      </c>
      <c r="S3" s="17" t="s">
        <v>69</v>
      </c>
      <c r="T3" s="17" t="s">
        <v>71</v>
      </c>
      <c r="U3" s="17" t="s">
        <v>67</v>
      </c>
      <c r="V3" s="17" t="s">
        <v>68</v>
      </c>
      <c r="W3" s="17" t="s">
        <v>69</v>
      </c>
      <c r="X3" s="17" t="s">
        <v>72</v>
      </c>
      <c r="Y3" s="17">
        <v>1</v>
      </c>
      <c r="Z3" s="17" t="s">
        <v>69</v>
      </c>
      <c r="AA3" s="17" t="s">
        <v>73</v>
      </c>
      <c r="AB3" s="17" t="s">
        <v>67</v>
      </c>
      <c r="AC3" s="17" t="s">
        <v>68</v>
      </c>
      <c r="AD3" s="17" t="s">
        <v>74</v>
      </c>
      <c r="AE3" s="17" t="s">
        <v>75</v>
      </c>
      <c r="AF3" s="17">
        <v>1</v>
      </c>
      <c r="AG3" s="17" t="s">
        <v>74</v>
      </c>
      <c r="AH3" s="17" t="s">
        <v>77</v>
      </c>
      <c r="AI3" s="10" t="s">
        <v>78</v>
      </c>
      <c r="AJ3" s="17" t="s">
        <v>68</v>
      </c>
      <c r="AK3" s="17" t="s">
        <v>69</v>
      </c>
      <c r="AL3" s="17" t="s">
        <v>79</v>
      </c>
      <c r="AM3" s="17">
        <v>1</v>
      </c>
      <c r="AN3" s="17" t="s">
        <v>69</v>
      </c>
      <c r="AO3" s="17" t="s">
        <v>80</v>
      </c>
      <c r="AP3" s="17" t="s">
        <v>67</v>
      </c>
      <c r="AQ3" s="17" t="s">
        <v>68</v>
      </c>
      <c r="AR3" s="17" t="s">
        <v>74</v>
      </c>
      <c r="AS3" s="10" t="s">
        <v>81</v>
      </c>
      <c r="AT3" s="17">
        <v>0</v>
      </c>
      <c r="AU3" s="17" t="s">
        <v>69</v>
      </c>
      <c r="AV3" s="17" t="s">
        <v>82</v>
      </c>
      <c r="AW3" s="10" t="s">
        <v>78</v>
      </c>
      <c r="AX3" s="17" t="s">
        <v>68</v>
      </c>
      <c r="AY3" s="17" t="s">
        <v>69</v>
      </c>
      <c r="AZ3" s="17" t="s">
        <v>83</v>
      </c>
      <c r="BA3" s="17">
        <v>1</v>
      </c>
      <c r="BB3" s="17" t="s">
        <v>69</v>
      </c>
      <c r="BC3" s="17" t="s">
        <v>84</v>
      </c>
      <c r="BD3" s="10" t="s">
        <v>78</v>
      </c>
      <c r="BE3" s="17" t="s">
        <v>68</v>
      </c>
      <c r="BF3" s="17" t="s">
        <v>76</v>
      </c>
      <c r="BG3" s="10" t="s">
        <v>85</v>
      </c>
      <c r="BH3" s="17">
        <v>1</v>
      </c>
      <c r="BI3" s="17" t="s">
        <v>76</v>
      </c>
      <c r="BJ3" s="17" t="s">
        <v>86</v>
      </c>
      <c r="BK3" s="10" t="s">
        <v>78</v>
      </c>
      <c r="BL3" s="17" t="s">
        <v>68</v>
      </c>
      <c r="BM3" s="17" t="s">
        <v>74</v>
      </c>
      <c r="BN3" s="10" t="s">
        <v>87</v>
      </c>
      <c r="BO3" s="17">
        <v>0</v>
      </c>
      <c r="BP3" s="17" t="s">
        <v>69</v>
      </c>
      <c r="BQ3" s="17" t="s">
        <v>88</v>
      </c>
      <c r="BR3" s="10" t="s">
        <v>78</v>
      </c>
      <c r="BS3" s="17" t="s">
        <v>68</v>
      </c>
      <c r="BT3" s="17" t="s">
        <v>69</v>
      </c>
      <c r="BU3" s="17" t="s">
        <v>89</v>
      </c>
      <c r="BV3" s="17">
        <v>1</v>
      </c>
      <c r="BW3" s="17" t="s">
        <v>69</v>
      </c>
      <c r="BX3" s="17" t="s">
        <v>90</v>
      </c>
      <c r="BY3" s="10" t="s">
        <v>78</v>
      </c>
      <c r="BZ3" s="17" t="s">
        <v>68</v>
      </c>
      <c r="CA3" s="17" t="s">
        <v>69</v>
      </c>
      <c r="CB3" s="10" t="s">
        <v>91</v>
      </c>
      <c r="CC3" s="17">
        <v>0</v>
      </c>
      <c r="CD3" s="17" t="s">
        <v>76</v>
      </c>
      <c r="CE3" s="17" t="s">
        <v>92</v>
      </c>
      <c r="CF3" s="10" t="s">
        <v>93</v>
      </c>
      <c r="CG3" s="17" t="s">
        <v>68</v>
      </c>
      <c r="CH3" s="17" t="s">
        <v>69</v>
      </c>
      <c r="CI3" s="10" t="s">
        <v>94</v>
      </c>
      <c r="CJ3" s="17">
        <v>0</v>
      </c>
      <c r="CK3" s="17" t="s">
        <v>76</v>
      </c>
      <c r="CL3" s="17" t="s">
        <v>95</v>
      </c>
      <c r="CM3" s="10" t="s">
        <v>93</v>
      </c>
      <c r="CN3" s="17" t="s">
        <v>68</v>
      </c>
      <c r="CO3" s="17" t="s">
        <v>69</v>
      </c>
      <c r="CP3" s="10" t="s">
        <v>96</v>
      </c>
      <c r="CQ3" s="17">
        <v>1</v>
      </c>
      <c r="CR3" s="17" t="s">
        <v>69</v>
      </c>
      <c r="CS3" s="17" t="s">
        <v>97</v>
      </c>
      <c r="CT3" s="10" t="s">
        <v>78</v>
      </c>
      <c r="CU3" s="17" t="s">
        <v>68</v>
      </c>
      <c r="CV3" s="17" t="s">
        <v>74</v>
      </c>
      <c r="CW3" s="10" t="s">
        <v>98</v>
      </c>
      <c r="CX3" s="17">
        <v>1</v>
      </c>
      <c r="CY3" s="17" t="s">
        <v>74</v>
      </c>
      <c r="CZ3" s="17" t="s">
        <v>99</v>
      </c>
      <c r="DA3" s="10" t="s">
        <v>93</v>
      </c>
      <c r="DB3" s="17" t="s">
        <v>68</v>
      </c>
      <c r="DC3" s="17" t="s">
        <v>69</v>
      </c>
      <c r="DD3" s="17" t="s">
        <v>100</v>
      </c>
      <c r="DE3" s="17">
        <v>0</v>
      </c>
      <c r="DF3" s="17" t="s">
        <v>74</v>
      </c>
      <c r="DG3" s="17" t="s">
        <v>101</v>
      </c>
      <c r="DH3" s="10" t="s">
        <v>93</v>
      </c>
      <c r="DI3" s="17" t="s">
        <v>68</v>
      </c>
      <c r="DJ3" s="17" t="s">
        <v>69</v>
      </c>
      <c r="DK3" s="10" t="s">
        <v>102</v>
      </c>
      <c r="DL3" s="17">
        <v>1</v>
      </c>
      <c r="DM3" s="17" t="s">
        <v>69</v>
      </c>
      <c r="DN3">
        <f t="shared" si="0"/>
        <v>10</v>
      </c>
      <c r="DO3" s="8">
        <f t="shared" si="1"/>
        <v>0.66666666666666663</v>
      </c>
    </row>
    <row r="6" spans="1:119" ht="18" x14ac:dyDescent="0.35">
      <c r="CS6" s="33" t="s">
        <v>234</v>
      </c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</row>
    <row r="10" spans="1:119" ht="21" x14ac:dyDescent="0.3">
      <c r="CS10" s="32" t="s">
        <v>232</v>
      </c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</row>
    <row r="12" spans="1:119" ht="28.8" x14ac:dyDescent="0.3">
      <c r="CS12" s="20" t="s">
        <v>2</v>
      </c>
      <c r="CT12" s="20" t="s">
        <v>178</v>
      </c>
      <c r="CU12" s="20" t="s">
        <v>167</v>
      </c>
      <c r="CV12" s="20" t="s">
        <v>163</v>
      </c>
    </row>
    <row r="13" spans="1:119" x14ac:dyDescent="0.3">
      <c r="CS13" s="10" t="s">
        <v>6</v>
      </c>
      <c r="CT13" s="10">
        <v>15</v>
      </c>
      <c r="CU13" s="10">
        <v>8</v>
      </c>
      <c r="CV13" s="12">
        <v>0.53</v>
      </c>
    </row>
    <row r="14" spans="1:119" x14ac:dyDescent="0.3">
      <c r="CS14" s="10" t="s">
        <v>7</v>
      </c>
      <c r="CT14" s="10">
        <v>15</v>
      </c>
      <c r="CU14" s="10">
        <v>1</v>
      </c>
      <c r="CV14" s="12">
        <v>7.0000000000000007E-2</v>
      </c>
    </row>
    <row r="15" spans="1:119" x14ac:dyDescent="0.3">
      <c r="CS15" s="10" t="s">
        <v>8</v>
      </c>
      <c r="CT15" s="10">
        <v>15</v>
      </c>
      <c r="CU15" s="10">
        <v>10</v>
      </c>
      <c r="CV15" s="12">
        <v>0.67</v>
      </c>
    </row>
    <row r="16" spans="1:119" x14ac:dyDescent="0.3">
      <c r="CS16" s="15" t="s">
        <v>164</v>
      </c>
      <c r="CT16" s="10">
        <v>45</v>
      </c>
      <c r="CU16" s="10">
        <v>19</v>
      </c>
      <c r="CV16" s="19">
        <v>0.42</v>
      </c>
    </row>
    <row r="19" spans="97:119" ht="21" x14ac:dyDescent="0.3">
      <c r="CS19" s="32" t="s">
        <v>174</v>
      </c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</row>
    <row r="21" spans="97:119" ht="18" x14ac:dyDescent="0.3">
      <c r="CS21" s="31" t="s">
        <v>6</v>
      </c>
      <c r="CT21" s="31"/>
      <c r="CU21" s="31"/>
      <c r="CV21" s="31"/>
      <c r="CX21" s="31" t="s">
        <v>7</v>
      </c>
      <c r="CY21" s="31"/>
      <c r="CZ21" s="31"/>
      <c r="DA21" s="31"/>
      <c r="DC21" s="31" t="s">
        <v>8</v>
      </c>
      <c r="DD21" s="31"/>
      <c r="DE21" s="31"/>
      <c r="DF21" s="31"/>
    </row>
    <row r="22" spans="97:119" x14ac:dyDescent="0.3">
      <c r="CS22" s="20" t="s">
        <v>165</v>
      </c>
      <c r="CT22" s="20" t="s">
        <v>166</v>
      </c>
      <c r="CU22" s="20" t="s">
        <v>167</v>
      </c>
      <c r="CV22" s="20" t="s">
        <v>168</v>
      </c>
      <c r="CX22" s="20" t="s">
        <v>165</v>
      </c>
      <c r="CY22" s="20" t="s">
        <v>166</v>
      </c>
      <c r="CZ22" s="20" t="s">
        <v>167</v>
      </c>
      <c r="DA22" s="20" t="s">
        <v>168</v>
      </c>
      <c r="DC22" s="20" t="s">
        <v>165</v>
      </c>
      <c r="DD22" s="20" t="s">
        <v>166</v>
      </c>
      <c r="DE22" s="20" t="s">
        <v>167</v>
      </c>
      <c r="DF22" s="20" t="s">
        <v>168</v>
      </c>
    </row>
    <row r="23" spans="97:119" x14ac:dyDescent="0.3">
      <c r="CS23" s="10" t="s">
        <v>169</v>
      </c>
      <c r="CT23" s="10">
        <v>6</v>
      </c>
      <c r="CU23" s="10">
        <v>2</v>
      </c>
      <c r="CV23" s="12">
        <v>0.33</v>
      </c>
      <c r="CX23" s="10" t="s">
        <v>169</v>
      </c>
      <c r="CY23" s="10">
        <v>4</v>
      </c>
      <c r="CZ23" s="10">
        <v>0</v>
      </c>
      <c r="DA23" s="12">
        <v>0</v>
      </c>
      <c r="DC23" s="10" t="s">
        <v>169</v>
      </c>
      <c r="DD23" s="10">
        <v>4</v>
      </c>
      <c r="DE23" s="10">
        <v>3</v>
      </c>
      <c r="DF23" s="12">
        <v>0.75</v>
      </c>
    </row>
    <row r="24" spans="97:119" x14ac:dyDescent="0.3">
      <c r="CS24" s="10" t="s">
        <v>170</v>
      </c>
      <c r="CT24" s="10">
        <v>6</v>
      </c>
      <c r="CU24" s="10">
        <v>4</v>
      </c>
      <c r="CV24" s="12">
        <v>0.67</v>
      </c>
      <c r="CX24" s="10" t="s">
        <v>170</v>
      </c>
      <c r="CY24" s="10">
        <v>6</v>
      </c>
      <c r="CZ24" s="10">
        <v>1</v>
      </c>
      <c r="DA24" s="12">
        <v>0.17</v>
      </c>
      <c r="DC24" s="10" t="s">
        <v>170</v>
      </c>
      <c r="DD24" s="10">
        <v>6</v>
      </c>
      <c r="DE24" s="10">
        <v>5</v>
      </c>
      <c r="DF24" s="12">
        <v>0.83</v>
      </c>
    </row>
    <row r="25" spans="97:119" x14ac:dyDescent="0.3">
      <c r="CS25" s="10" t="s">
        <v>171</v>
      </c>
      <c r="CT25" s="10">
        <v>3</v>
      </c>
      <c r="CU25" s="10">
        <v>2</v>
      </c>
      <c r="CV25" s="12">
        <v>0.67</v>
      </c>
      <c r="CX25" s="10" t="s">
        <v>171</v>
      </c>
      <c r="CY25" s="10">
        <v>5</v>
      </c>
      <c r="CZ25" s="10">
        <v>0</v>
      </c>
      <c r="DA25" s="12">
        <v>0</v>
      </c>
      <c r="DC25" s="10" t="s">
        <v>171</v>
      </c>
      <c r="DD25" s="10">
        <v>5</v>
      </c>
      <c r="DE25" s="10">
        <v>2</v>
      </c>
      <c r="DF25" s="12">
        <v>0.4</v>
      </c>
    </row>
    <row r="28" spans="97:119" ht="21" x14ac:dyDescent="0.3">
      <c r="CS28" s="32" t="s">
        <v>233</v>
      </c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</row>
    <row r="30" spans="97:119" ht="18" x14ac:dyDescent="0.3">
      <c r="CS30" s="31" t="s">
        <v>6</v>
      </c>
      <c r="CT30" s="31"/>
      <c r="CU30" s="31"/>
      <c r="CV30" s="31"/>
      <c r="CX30" s="31" t="s">
        <v>7</v>
      </c>
      <c r="CY30" s="31"/>
      <c r="CZ30" s="31"/>
      <c r="DA30" s="31"/>
      <c r="DC30" s="31" t="s">
        <v>8</v>
      </c>
      <c r="DD30" s="31"/>
      <c r="DE30" s="31"/>
      <c r="DF30" s="31"/>
    </row>
    <row r="31" spans="97:119" x14ac:dyDescent="0.3">
      <c r="CS31" s="20" t="s">
        <v>220</v>
      </c>
      <c r="CT31" s="20" t="s">
        <v>166</v>
      </c>
      <c r="CU31" s="20" t="s">
        <v>167</v>
      </c>
      <c r="CV31" s="20" t="s">
        <v>168</v>
      </c>
      <c r="CX31" s="20" t="s">
        <v>220</v>
      </c>
      <c r="CY31" s="20" t="s">
        <v>166</v>
      </c>
      <c r="CZ31" s="20" t="s">
        <v>167</v>
      </c>
      <c r="DA31" s="20" t="s">
        <v>168</v>
      </c>
      <c r="DC31" s="20" t="s">
        <v>220</v>
      </c>
      <c r="DD31" s="20" t="s">
        <v>166</v>
      </c>
      <c r="DE31" s="20" t="s">
        <v>167</v>
      </c>
      <c r="DF31" s="20" t="s">
        <v>168</v>
      </c>
    </row>
    <row r="32" spans="97:119" x14ac:dyDescent="0.3">
      <c r="CS32" s="10" t="s">
        <v>235</v>
      </c>
      <c r="CT32" s="10">
        <v>1</v>
      </c>
      <c r="CU32" s="10">
        <v>1</v>
      </c>
      <c r="CV32" s="12">
        <v>1</v>
      </c>
      <c r="CX32" s="10" t="s">
        <v>225</v>
      </c>
      <c r="CY32" s="10">
        <v>2</v>
      </c>
      <c r="CZ32" s="10">
        <v>0</v>
      </c>
      <c r="DA32" s="12">
        <v>0</v>
      </c>
      <c r="DC32" s="10" t="s">
        <v>200</v>
      </c>
      <c r="DD32" s="10">
        <v>1</v>
      </c>
      <c r="DE32" s="10">
        <v>1</v>
      </c>
      <c r="DF32" s="12">
        <v>1</v>
      </c>
    </row>
    <row r="33" spans="97:110" x14ac:dyDescent="0.3">
      <c r="CS33" s="10" t="s">
        <v>222</v>
      </c>
      <c r="CT33" s="10">
        <v>1</v>
      </c>
      <c r="CU33" s="10">
        <v>1</v>
      </c>
      <c r="CV33" s="12">
        <v>1</v>
      </c>
      <c r="CX33" s="10" t="s">
        <v>226</v>
      </c>
      <c r="CY33" s="10">
        <v>3</v>
      </c>
      <c r="CZ33" s="10">
        <v>0</v>
      </c>
      <c r="DA33" s="12">
        <v>0</v>
      </c>
      <c r="DC33" s="10" t="s">
        <v>201</v>
      </c>
      <c r="DD33" s="10">
        <v>1</v>
      </c>
      <c r="DE33" s="10">
        <v>1</v>
      </c>
      <c r="DF33" s="12">
        <v>1</v>
      </c>
    </row>
    <row r="34" spans="97:110" x14ac:dyDescent="0.3">
      <c r="CS34" s="10" t="s">
        <v>181</v>
      </c>
      <c r="CT34" s="10">
        <v>2</v>
      </c>
      <c r="CU34" s="10">
        <v>2</v>
      </c>
      <c r="CV34" s="12">
        <v>1</v>
      </c>
      <c r="CX34" s="10" t="s">
        <v>192</v>
      </c>
      <c r="CY34" s="10">
        <v>1</v>
      </c>
      <c r="CZ34" s="10">
        <v>0</v>
      </c>
      <c r="DA34" s="12">
        <v>0</v>
      </c>
      <c r="DC34" s="10" t="s">
        <v>75</v>
      </c>
      <c r="DD34" s="10">
        <v>1</v>
      </c>
      <c r="DE34" s="10">
        <v>1</v>
      </c>
      <c r="DF34" s="12">
        <v>1</v>
      </c>
    </row>
    <row r="35" spans="97:110" x14ac:dyDescent="0.3">
      <c r="CS35" s="10" t="s">
        <v>182</v>
      </c>
      <c r="CT35" s="10">
        <v>1</v>
      </c>
      <c r="CU35" s="10">
        <v>0</v>
      </c>
      <c r="CV35" s="12">
        <v>0</v>
      </c>
      <c r="CX35" s="10" t="s">
        <v>193</v>
      </c>
      <c r="CY35" s="10">
        <v>1</v>
      </c>
      <c r="CZ35" s="10">
        <v>0</v>
      </c>
      <c r="DA35" s="12">
        <v>0</v>
      </c>
      <c r="DC35" s="10" t="s">
        <v>79</v>
      </c>
      <c r="DD35" s="10">
        <v>1</v>
      </c>
      <c r="DE35" s="10">
        <v>1</v>
      </c>
      <c r="DF35" s="12">
        <v>1</v>
      </c>
    </row>
    <row r="36" spans="97:110" x14ac:dyDescent="0.3">
      <c r="CS36" s="10" t="s">
        <v>223</v>
      </c>
      <c r="CT36" s="10">
        <v>2</v>
      </c>
      <c r="CU36" s="10">
        <v>1</v>
      </c>
      <c r="CV36" s="12">
        <v>0.5</v>
      </c>
      <c r="CX36" s="10" t="s">
        <v>194</v>
      </c>
      <c r="CY36" s="10">
        <v>1</v>
      </c>
      <c r="CZ36" s="10">
        <v>0</v>
      </c>
      <c r="DA36" s="12">
        <v>0</v>
      </c>
      <c r="DC36" s="10" t="s">
        <v>81</v>
      </c>
      <c r="DD36" s="10">
        <v>1</v>
      </c>
      <c r="DE36" s="10">
        <v>0</v>
      </c>
      <c r="DF36" s="12">
        <v>0</v>
      </c>
    </row>
    <row r="37" spans="97:110" x14ac:dyDescent="0.3">
      <c r="CS37" s="10" t="s">
        <v>184</v>
      </c>
      <c r="CT37" s="10">
        <v>1</v>
      </c>
      <c r="CU37" s="10">
        <v>0</v>
      </c>
      <c r="CV37" s="12">
        <v>0</v>
      </c>
      <c r="CX37" s="10" t="s">
        <v>118</v>
      </c>
      <c r="CY37" s="10">
        <v>1</v>
      </c>
      <c r="CZ37" s="10">
        <v>0</v>
      </c>
      <c r="DA37" s="12">
        <v>0</v>
      </c>
      <c r="DC37" s="10" t="s">
        <v>83</v>
      </c>
      <c r="DD37" s="10">
        <v>1</v>
      </c>
      <c r="DE37" s="10">
        <v>1</v>
      </c>
      <c r="DF37" s="12">
        <v>1</v>
      </c>
    </row>
    <row r="38" spans="97:110" x14ac:dyDescent="0.3">
      <c r="CS38" s="10" t="s">
        <v>185</v>
      </c>
      <c r="CT38" s="10">
        <v>1</v>
      </c>
      <c r="CU38" s="10">
        <v>1</v>
      </c>
      <c r="CV38" s="12">
        <v>1</v>
      </c>
      <c r="CX38" s="10" t="s">
        <v>227</v>
      </c>
      <c r="CY38" s="10">
        <v>1</v>
      </c>
      <c r="CZ38" s="10">
        <v>0</v>
      </c>
      <c r="DA38" s="12">
        <v>0</v>
      </c>
      <c r="DC38" s="10" t="s">
        <v>230</v>
      </c>
      <c r="DD38" s="10">
        <v>1</v>
      </c>
      <c r="DE38" s="10">
        <v>1</v>
      </c>
      <c r="DF38" s="12">
        <v>1</v>
      </c>
    </row>
    <row r="39" spans="97:110" x14ac:dyDescent="0.3">
      <c r="CS39" s="10" t="s">
        <v>224</v>
      </c>
      <c r="CT39" s="10">
        <v>1</v>
      </c>
      <c r="CU39" s="10">
        <v>1</v>
      </c>
      <c r="CV39" s="12">
        <v>1</v>
      </c>
      <c r="CX39" s="10" t="s">
        <v>122</v>
      </c>
      <c r="CY39" s="10">
        <v>1</v>
      </c>
      <c r="CZ39" s="10">
        <v>0</v>
      </c>
      <c r="DA39" s="12">
        <v>0</v>
      </c>
      <c r="DC39" s="10" t="s">
        <v>203</v>
      </c>
      <c r="DD39" s="10">
        <v>1</v>
      </c>
      <c r="DE39" s="10">
        <v>0</v>
      </c>
      <c r="DF39" s="12">
        <v>0</v>
      </c>
    </row>
    <row r="40" spans="97:110" x14ac:dyDescent="0.3">
      <c r="CS40" s="10" t="s">
        <v>152</v>
      </c>
      <c r="CT40" s="10">
        <v>1</v>
      </c>
      <c r="CU40" s="10">
        <v>1</v>
      </c>
      <c r="CV40" s="12">
        <v>1</v>
      </c>
      <c r="CX40" s="10" t="s">
        <v>228</v>
      </c>
      <c r="CY40" s="10">
        <v>1</v>
      </c>
      <c r="CZ40" s="10">
        <v>1</v>
      </c>
      <c r="DA40" s="12">
        <v>1</v>
      </c>
      <c r="DC40" s="10" t="s">
        <v>204</v>
      </c>
      <c r="DD40" s="10">
        <v>1</v>
      </c>
      <c r="DE40" s="10">
        <v>1</v>
      </c>
      <c r="DF40" s="12">
        <v>1</v>
      </c>
    </row>
    <row r="41" spans="97:110" x14ac:dyDescent="0.3">
      <c r="CS41" s="10" t="s">
        <v>154</v>
      </c>
      <c r="CT41" s="10">
        <v>1</v>
      </c>
      <c r="CU41" s="10">
        <v>0</v>
      </c>
      <c r="CV41" s="12">
        <v>0</v>
      </c>
      <c r="CX41" s="10" t="s">
        <v>197</v>
      </c>
      <c r="CY41" s="10">
        <v>1</v>
      </c>
      <c r="CZ41" s="10">
        <v>0</v>
      </c>
      <c r="DA41" s="12">
        <v>0</v>
      </c>
      <c r="DC41" s="10" t="s">
        <v>205</v>
      </c>
      <c r="DD41" s="10">
        <v>1</v>
      </c>
      <c r="DE41" s="10">
        <v>0</v>
      </c>
      <c r="DF41" s="12">
        <v>0</v>
      </c>
    </row>
    <row r="42" spans="97:110" x14ac:dyDescent="0.3">
      <c r="CS42" s="10" t="s">
        <v>156</v>
      </c>
      <c r="CT42" s="10">
        <v>1</v>
      </c>
      <c r="CU42" s="10">
        <v>0</v>
      </c>
      <c r="CV42" s="12">
        <v>0</v>
      </c>
      <c r="CX42" s="10" t="s">
        <v>229</v>
      </c>
      <c r="CY42" s="10">
        <v>1</v>
      </c>
      <c r="CZ42" s="10">
        <v>0</v>
      </c>
      <c r="DA42" s="12">
        <v>0</v>
      </c>
      <c r="DC42" s="10" t="s">
        <v>206</v>
      </c>
      <c r="DD42" s="10">
        <v>1</v>
      </c>
      <c r="DE42" s="10">
        <v>0</v>
      </c>
      <c r="DF42" s="12">
        <v>0</v>
      </c>
    </row>
    <row r="43" spans="97:110" x14ac:dyDescent="0.3">
      <c r="CS43" s="10" t="s">
        <v>158</v>
      </c>
      <c r="CT43" s="10">
        <v>1</v>
      </c>
      <c r="CU43" s="10">
        <v>0</v>
      </c>
      <c r="CV43" s="12">
        <v>0</v>
      </c>
      <c r="CX43" s="10" t="s">
        <v>199</v>
      </c>
      <c r="CY43" s="10">
        <v>1</v>
      </c>
      <c r="CZ43" s="10">
        <v>0</v>
      </c>
      <c r="DA43" s="12">
        <v>0</v>
      </c>
      <c r="DC43" s="10" t="s">
        <v>207</v>
      </c>
      <c r="DD43" s="10">
        <v>1</v>
      </c>
      <c r="DE43" s="10">
        <v>1</v>
      </c>
      <c r="DF43" s="12">
        <v>1</v>
      </c>
    </row>
    <row r="44" spans="97:110" x14ac:dyDescent="0.3">
      <c r="CS44" s="10" t="s">
        <v>160</v>
      </c>
      <c r="CT44" s="10">
        <v>1</v>
      </c>
      <c r="CU44" s="10">
        <v>0</v>
      </c>
      <c r="CV44" s="12">
        <v>0</v>
      </c>
      <c r="CX44" s="10"/>
      <c r="CY44" s="10"/>
      <c r="CZ44" s="10"/>
      <c r="DA44" s="12"/>
      <c r="DC44" s="10" t="s">
        <v>208</v>
      </c>
      <c r="DD44" s="10">
        <v>1</v>
      </c>
      <c r="DE44" s="10">
        <v>1</v>
      </c>
      <c r="DF44" s="12">
        <v>1</v>
      </c>
    </row>
    <row r="45" spans="97:110" x14ac:dyDescent="0.3">
      <c r="DC45" s="10" t="s">
        <v>100</v>
      </c>
      <c r="DD45" s="10">
        <v>1</v>
      </c>
      <c r="DE45" s="10">
        <v>0</v>
      </c>
      <c r="DF45" s="12">
        <v>0</v>
      </c>
    </row>
    <row r="46" spans="97:110" ht="23.4" x14ac:dyDescent="0.3">
      <c r="CS46" s="18"/>
      <c r="DC46" s="10" t="s">
        <v>209</v>
      </c>
      <c r="DD46" s="10">
        <v>1</v>
      </c>
      <c r="DE46" s="10">
        <v>1</v>
      </c>
      <c r="DF46" s="12">
        <v>1</v>
      </c>
    </row>
    <row r="64" spans="97:97" ht="23.4" x14ac:dyDescent="0.3">
      <c r="CS64" s="18"/>
    </row>
    <row r="81" spans="97:97" ht="23.4" x14ac:dyDescent="0.3">
      <c r="CS81" s="18"/>
    </row>
  </sheetData>
  <mergeCells count="10">
    <mergeCell ref="CS6:DO6"/>
    <mergeCell ref="CS30:CV30"/>
    <mergeCell ref="CX30:DA30"/>
    <mergeCell ref="DC30:DF30"/>
    <mergeCell ref="CS10:DO10"/>
    <mergeCell ref="CS19:DO19"/>
    <mergeCell ref="CS21:CV21"/>
    <mergeCell ref="CX21:DA21"/>
    <mergeCell ref="DC21:DF21"/>
    <mergeCell ref="CS28:DO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4216-55A1-4DBC-9020-D2B96F342443}">
  <dimension ref="A1:DO81"/>
  <sheetViews>
    <sheetView topLeftCell="A4" workbookViewId="0">
      <selection activeCell="Q13" sqref="Q13"/>
    </sheetView>
  </sheetViews>
  <sheetFormatPr defaultRowHeight="14.4" x14ac:dyDescent="0.3"/>
  <cols>
    <col min="1" max="1" width="20" customWidth="1"/>
    <col min="6" max="6" width="19.109375" customWidth="1"/>
    <col min="11" max="11" width="21" customWidth="1"/>
    <col min="12" max="12" width="12.33203125" customWidth="1"/>
    <col min="13" max="13" width="18.33203125" customWidth="1"/>
    <col min="14" max="14" width="16.21875" customWidth="1"/>
  </cols>
  <sheetData>
    <row r="1" spans="1:119" ht="259.2" x14ac:dyDescent="0.3">
      <c r="A1" s="17">
        <v>488</v>
      </c>
      <c r="B1" s="17" t="s">
        <v>60</v>
      </c>
      <c r="C1" s="17" t="s">
        <v>61</v>
      </c>
      <c r="D1" s="17" t="s">
        <v>210</v>
      </c>
      <c r="E1" s="10" t="s">
        <v>17</v>
      </c>
      <c r="F1" s="17" t="s">
        <v>211</v>
      </c>
      <c r="G1" s="17">
        <v>7</v>
      </c>
      <c r="H1" s="17" t="s">
        <v>64</v>
      </c>
      <c r="I1" s="10" t="s">
        <v>212</v>
      </c>
      <c r="J1" s="17">
        <v>17</v>
      </c>
      <c r="K1" s="17">
        <v>58</v>
      </c>
      <c r="L1" s="17" t="s">
        <v>6</v>
      </c>
      <c r="M1" s="17" t="s">
        <v>133</v>
      </c>
      <c r="N1" s="17" t="s">
        <v>67</v>
      </c>
      <c r="O1" s="17" t="s">
        <v>68</v>
      </c>
      <c r="P1" s="17" t="s">
        <v>69</v>
      </c>
      <c r="Q1" s="10" t="s">
        <v>134</v>
      </c>
      <c r="R1" s="17">
        <v>1</v>
      </c>
      <c r="S1" s="17" t="s">
        <v>69</v>
      </c>
      <c r="T1" s="17" t="s">
        <v>135</v>
      </c>
      <c r="U1" s="10" t="s">
        <v>78</v>
      </c>
      <c r="V1" s="17" t="s">
        <v>68</v>
      </c>
      <c r="W1" s="17" t="s">
        <v>69</v>
      </c>
      <c r="X1" s="10" t="s">
        <v>136</v>
      </c>
      <c r="Y1" s="17">
        <v>0</v>
      </c>
      <c r="Z1" s="17" t="s">
        <v>213</v>
      </c>
      <c r="AA1" s="17" t="s">
        <v>137</v>
      </c>
      <c r="AB1" s="10" t="s">
        <v>78</v>
      </c>
      <c r="AC1" s="17" t="s">
        <v>68</v>
      </c>
      <c r="AD1" s="17" t="s">
        <v>74</v>
      </c>
      <c r="AE1" s="10" t="s">
        <v>138</v>
      </c>
      <c r="AF1" s="17">
        <v>0</v>
      </c>
      <c r="AG1" s="17" t="s">
        <v>76</v>
      </c>
      <c r="AH1" s="17" t="s">
        <v>139</v>
      </c>
      <c r="AI1" s="17" t="s">
        <v>67</v>
      </c>
      <c r="AJ1" s="17" t="s">
        <v>68</v>
      </c>
      <c r="AK1" s="17" t="s">
        <v>69</v>
      </c>
      <c r="AL1" s="10" t="s">
        <v>140</v>
      </c>
      <c r="AM1" s="17">
        <v>1</v>
      </c>
      <c r="AN1" s="17" t="s">
        <v>69</v>
      </c>
      <c r="AO1" s="17" t="s">
        <v>141</v>
      </c>
      <c r="AP1" s="10" t="s">
        <v>78</v>
      </c>
      <c r="AQ1" s="17" t="s">
        <v>68</v>
      </c>
      <c r="AR1" s="17" t="s">
        <v>76</v>
      </c>
      <c r="AS1" s="10" t="s">
        <v>142</v>
      </c>
      <c r="AT1" s="17">
        <v>0</v>
      </c>
      <c r="AU1" s="17" t="s">
        <v>69</v>
      </c>
      <c r="AV1" s="17" t="s">
        <v>143</v>
      </c>
      <c r="AW1" s="17" t="s">
        <v>67</v>
      </c>
      <c r="AX1" s="17" t="s">
        <v>68</v>
      </c>
      <c r="AY1" s="17" t="s">
        <v>105</v>
      </c>
      <c r="AZ1" s="10" t="s">
        <v>144</v>
      </c>
      <c r="BA1" s="17">
        <v>0</v>
      </c>
      <c r="BB1" s="17" t="s">
        <v>213</v>
      </c>
      <c r="BC1" s="17" t="s">
        <v>145</v>
      </c>
      <c r="BD1" s="10" t="s">
        <v>78</v>
      </c>
      <c r="BE1" s="17" t="s">
        <v>68</v>
      </c>
      <c r="BF1" s="17" t="s">
        <v>69</v>
      </c>
      <c r="BG1" s="10" t="s">
        <v>146</v>
      </c>
      <c r="BH1" s="17">
        <v>1</v>
      </c>
      <c r="BI1" s="17" t="s">
        <v>69</v>
      </c>
      <c r="BJ1" s="17" t="s">
        <v>147</v>
      </c>
      <c r="BK1" s="10" t="s">
        <v>78</v>
      </c>
      <c r="BL1" s="17" t="s">
        <v>68</v>
      </c>
      <c r="BM1" s="17" t="s">
        <v>74</v>
      </c>
      <c r="BN1" s="10" t="s">
        <v>148</v>
      </c>
      <c r="BO1" s="17">
        <v>1</v>
      </c>
      <c r="BP1" s="17" t="s">
        <v>74</v>
      </c>
      <c r="BQ1" s="17" t="s">
        <v>149</v>
      </c>
      <c r="BR1" s="10" t="s">
        <v>93</v>
      </c>
      <c r="BS1" s="17" t="s">
        <v>68</v>
      </c>
      <c r="BT1" s="17" t="s">
        <v>74</v>
      </c>
      <c r="BU1" s="10" t="s">
        <v>142</v>
      </c>
      <c r="BV1" s="17">
        <v>0</v>
      </c>
      <c r="BW1" s="17" t="s">
        <v>213</v>
      </c>
      <c r="BX1" s="17" t="s">
        <v>150</v>
      </c>
      <c r="BY1" s="10" t="s">
        <v>93</v>
      </c>
      <c r="BZ1" s="17" t="s">
        <v>68</v>
      </c>
      <c r="CA1" s="17" t="s">
        <v>105</v>
      </c>
      <c r="CB1" s="10" t="s">
        <v>138</v>
      </c>
      <c r="CC1" s="17">
        <v>1</v>
      </c>
      <c r="CD1" s="17" t="s">
        <v>105</v>
      </c>
      <c r="CE1" s="17" t="s">
        <v>151</v>
      </c>
      <c r="CF1" s="10" t="s">
        <v>78</v>
      </c>
      <c r="CG1" s="17" t="s">
        <v>68</v>
      </c>
      <c r="CH1" s="17" t="s">
        <v>69</v>
      </c>
      <c r="CI1" s="17" t="s">
        <v>152</v>
      </c>
      <c r="CJ1" s="17">
        <v>0</v>
      </c>
      <c r="CK1" s="17" t="s">
        <v>74</v>
      </c>
      <c r="CL1" s="17" t="s">
        <v>153</v>
      </c>
      <c r="CM1" s="17" t="s">
        <v>67</v>
      </c>
      <c r="CN1" s="17" t="s">
        <v>68</v>
      </c>
      <c r="CO1" s="17" t="s">
        <v>76</v>
      </c>
      <c r="CP1" s="17" t="s">
        <v>154</v>
      </c>
      <c r="CQ1" s="17">
        <v>1</v>
      </c>
      <c r="CR1" s="17" t="s">
        <v>76</v>
      </c>
      <c r="CS1" s="17" t="s">
        <v>155</v>
      </c>
      <c r="CT1" s="17" t="s">
        <v>67</v>
      </c>
      <c r="CU1" s="17" t="s">
        <v>68</v>
      </c>
      <c r="CV1" s="17" t="s">
        <v>74</v>
      </c>
      <c r="CW1" s="17" t="s">
        <v>156</v>
      </c>
      <c r="CX1" s="17">
        <v>1</v>
      </c>
      <c r="CY1" s="17" t="s">
        <v>74</v>
      </c>
      <c r="CZ1" s="17" t="s">
        <v>157</v>
      </c>
      <c r="DA1" s="10" t="s">
        <v>78</v>
      </c>
      <c r="DB1" s="17" t="s">
        <v>68</v>
      </c>
      <c r="DC1" s="17" t="s">
        <v>69</v>
      </c>
      <c r="DD1" s="17" t="s">
        <v>158</v>
      </c>
      <c r="DE1" s="17">
        <v>1</v>
      </c>
      <c r="DF1" s="17" t="s">
        <v>69</v>
      </c>
      <c r="DG1" s="17" t="s">
        <v>159</v>
      </c>
      <c r="DH1" s="17" t="s">
        <v>67</v>
      </c>
      <c r="DI1" s="17" t="s">
        <v>68</v>
      </c>
      <c r="DJ1" s="17" t="s">
        <v>74</v>
      </c>
      <c r="DK1" s="17" t="s">
        <v>160</v>
      </c>
      <c r="DL1" s="17">
        <v>0</v>
      </c>
      <c r="DM1" s="17" t="s">
        <v>76</v>
      </c>
      <c r="DN1">
        <f t="shared" ref="DN1:DN3" si="0">SUM(DL1,DE1,CX1,CQ1,CJ1,CC1,BV1,BO1,BH1,BA1,AT1,AM1,AF1,Y1,R1)</f>
        <v>8</v>
      </c>
      <c r="DO1" s="8">
        <f t="shared" ref="DO1:DO3" si="1">DN1/15</f>
        <v>0.53333333333333333</v>
      </c>
    </row>
    <row r="2" spans="1:119" ht="100.8" x14ac:dyDescent="0.3">
      <c r="A2" s="17">
        <v>488</v>
      </c>
      <c r="B2" s="17" t="s">
        <v>60</v>
      </c>
      <c r="C2" s="17" t="s">
        <v>61</v>
      </c>
      <c r="D2" s="17" t="s">
        <v>210</v>
      </c>
      <c r="E2" s="10" t="s">
        <v>17</v>
      </c>
      <c r="F2" s="17" t="s">
        <v>211</v>
      </c>
      <c r="G2" s="17">
        <v>7</v>
      </c>
      <c r="H2" s="17" t="s">
        <v>64</v>
      </c>
      <c r="I2" s="10" t="s">
        <v>214</v>
      </c>
      <c r="J2" s="17">
        <v>20</v>
      </c>
      <c r="K2" s="17">
        <v>58</v>
      </c>
      <c r="L2" s="17" t="s">
        <v>7</v>
      </c>
      <c r="M2" s="17" t="s">
        <v>104</v>
      </c>
      <c r="N2" s="10" t="s">
        <v>93</v>
      </c>
      <c r="O2" s="17" t="s">
        <v>68</v>
      </c>
      <c r="P2" s="17" t="s">
        <v>105</v>
      </c>
      <c r="Q2" s="10" t="s">
        <v>106</v>
      </c>
      <c r="R2" s="17">
        <v>1</v>
      </c>
      <c r="S2" s="17" t="s">
        <v>105</v>
      </c>
      <c r="T2" s="17" t="s">
        <v>107</v>
      </c>
      <c r="U2" s="10" t="s">
        <v>78</v>
      </c>
      <c r="V2" s="17" t="s">
        <v>68</v>
      </c>
      <c r="W2" s="17" t="s">
        <v>105</v>
      </c>
      <c r="X2" s="10" t="s">
        <v>108</v>
      </c>
      <c r="Y2" s="17">
        <v>0</v>
      </c>
      <c r="Z2" s="17" t="s">
        <v>76</v>
      </c>
      <c r="AA2" s="17" t="s">
        <v>109</v>
      </c>
      <c r="AB2" s="10" t="s">
        <v>78</v>
      </c>
      <c r="AC2" s="17" t="s">
        <v>68</v>
      </c>
      <c r="AD2" s="17" t="s">
        <v>69</v>
      </c>
      <c r="AE2" s="10" t="s">
        <v>108</v>
      </c>
      <c r="AF2" s="17">
        <v>1</v>
      </c>
      <c r="AG2" s="17" t="s">
        <v>69</v>
      </c>
      <c r="AH2" s="17" t="s">
        <v>110</v>
      </c>
      <c r="AI2" s="10" t="s">
        <v>93</v>
      </c>
      <c r="AJ2" s="17" t="s">
        <v>68</v>
      </c>
      <c r="AK2" s="17" t="s">
        <v>69</v>
      </c>
      <c r="AL2" s="10" t="s">
        <v>108</v>
      </c>
      <c r="AM2" s="17">
        <v>0</v>
      </c>
      <c r="AN2" s="17" t="s">
        <v>76</v>
      </c>
      <c r="AO2" s="17" t="s">
        <v>111</v>
      </c>
      <c r="AP2" s="17" t="s">
        <v>67</v>
      </c>
      <c r="AQ2" s="17" t="s">
        <v>68</v>
      </c>
      <c r="AR2" s="17" t="s">
        <v>76</v>
      </c>
      <c r="AS2" s="10" t="s">
        <v>112</v>
      </c>
      <c r="AT2" s="17">
        <v>1</v>
      </c>
      <c r="AU2" s="17" t="s">
        <v>76</v>
      </c>
      <c r="AV2" s="17" t="s">
        <v>113</v>
      </c>
      <c r="AW2" s="17" t="s">
        <v>67</v>
      </c>
      <c r="AX2" s="17" t="s">
        <v>68</v>
      </c>
      <c r="AY2" s="17" t="s">
        <v>69</v>
      </c>
      <c r="AZ2" s="10" t="s">
        <v>114</v>
      </c>
      <c r="BA2" s="17">
        <v>1</v>
      </c>
      <c r="BB2" s="17" t="s">
        <v>69</v>
      </c>
      <c r="BC2" s="17" t="s">
        <v>115</v>
      </c>
      <c r="BD2" s="17" t="s">
        <v>67</v>
      </c>
      <c r="BE2" s="17" t="s">
        <v>68</v>
      </c>
      <c r="BF2" s="17" t="s">
        <v>69</v>
      </c>
      <c r="BG2" s="10" t="s">
        <v>116</v>
      </c>
      <c r="BH2" s="17">
        <v>0</v>
      </c>
      <c r="BI2" s="17" t="s">
        <v>74</v>
      </c>
      <c r="BJ2" s="17" t="s">
        <v>117</v>
      </c>
      <c r="BK2" s="17" t="s">
        <v>67</v>
      </c>
      <c r="BL2" s="17" t="s">
        <v>68</v>
      </c>
      <c r="BM2" s="17" t="s">
        <v>76</v>
      </c>
      <c r="BN2" s="17" t="s">
        <v>118</v>
      </c>
      <c r="BO2" s="17">
        <v>0</v>
      </c>
      <c r="BP2" s="17" t="s">
        <v>69</v>
      </c>
      <c r="BQ2" s="17" t="s">
        <v>119</v>
      </c>
      <c r="BR2" s="10" t="s">
        <v>78</v>
      </c>
      <c r="BS2" s="17" t="s">
        <v>68</v>
      </c>
      <c r="BT2" s="17" t="s">
        <v>76</v>
      </c>
      <c r="BU2" s="10" t="s">
        <v>120</v>
      </c>
      <c r="BV2" s="17">
        <v>0</v>
      </c>
      <c r="BW2" s="17" t="s">
        <v>74</v>
      </c>
      <c r="BX2" s="17" t="s">
        <v>121</v>
      </c>
      <c r="BY2" s="10" t="s">
        <v>78</v>
      </c>
      <c r="BZ2" s="17" t="s">
        <v>68</v>
      </c>
      <c r="CA2" s="17" t="s">
        <v>74</v>
      </c>
      <c r="CB2" s="17" t="s">
        <v>122</v>
      </c>
      <c r="CC2" s="17">
        <v>1</v>
      </c>
      <c r="CD2" s="17" t="s">
        <v>74</v>
      </c>
      <c r="CE2" s="17" t="s">
        <v>123</v>
      </c>
      <c r="CF2" s="10" t="s">
        <v>78</v>
      </c>
      <c r="CG2" s="17" t="s">
        <v>68</v>
      </c>
      <c r="CH2" s="17" t="s">
        <v>74</v>
      </c>
      <c r="CI2" s="10" t="s">
        <v>106</v>
      </c>
      <c r="CJ2" s="17">
        <v>1</v>
      </c>
      <c r="CK2" s="17" t="s">
        <v>74</v>
      </c>
      <c r="CL2" s="17" t="s">
        <v>124</v>
      </c>
      <c r="CM2" s="10" t="s">
        <v>78</v>
      </c>
      <c r="CN2" s="17" t="s">
        <v>68</v>
      </c>
      <c r="CO2" s="17" t="s">
        <v>69</v>
      </c>
      <c r="CP2" s="10" t="s">
        <v>125</v>
      </c>
      <c r="CQ2" s="17">
        <v>0</v>
      </c>
      <c r="CR2" s="17" t="s">
        <v>74</v>
      </c>
      <c r="CS2" s="17" t="s">
        <v>126</v>
      </c>
      <c r="CT2" s="10" t="s">
        <v>78</v>
      </c>
      <c r="CU2" s="17" t="s">
        <v>68</v>
      </c>
      <c r="CV2" s="17" t="s">
        <v>74</v>
      </c>
      <c r="CW2" s="10" t="s">
        <v>127</v>
      </c>
      <c r="CX2" s="17">
        <v>0</v>
      </c>
      <c r="CY2" s="17" t="s">
        <v>69</v>
      </c>
      <c r="CZ2" s="17" t="s">
        <v>128</v>
      </c>
      <c r="DA2" s="10" t="s">
        <v>93</v>
      </c>
      <c r="DB2" s="17" t="s">
        <v>68</v>
      </c>
      <c r="DC2" s="17" t="s">
        <v>74</v>
      </c>
      <c r="DD2" s="10" t="s">
        <v>129</v>
      </c>
      <c r="DE2" s="17">
        <v>0</v>
      </c>
      <c r="DF2" s="17" t="s">
        <v>69</v>
      </c>
      <c r="DG2" s="17" t="s">
        <v>130</v>
      </c>
      <c r="DH2" s="10" t="s">
        <v>93</v>
      </c>
      <c r="DI2" s="17" t="s">
        <v>68</v>
      </c>
      <c r="DJ2" s="17" t="s">
        <v>69</v>
      </c>
      <c r="DK2" s="10" t="s">
        <v>131</v>
      </c>
      <c r="DL2" s="17">
        <v>1</v>
      </c>
      <c r="DM2" s="17" t="s">
        <v>69</v>
      </c>
      <c r="DN2">
        <f t="shared" si="0"/>
        <v>7</v>
      </c>
      <c r="DO2" s="8">
        <f t="shared" si="1"/>
        <v>0.46666666666666667</v>
      </c>
    </row>
    <row r="3" spans="1:119" ht="129.6" x14ac:dyDescent="0.3">
      <c r="A3" s="17">
        <v>488</v>
      </c>
      <c r="B3" s="17" t="s">
        <v>60</v>
      </c>
      <c r="C3" s="17" t="s">
        <v>61</v>
      </c>
      <c r="D3" s="17" t="s">
        <v>210</v>
      </c>
      <c r="E3" s="10" t="s">
        <v>17</v>
      </c>
      <c r="F3" s="17" t="s">
        <v>211</v>
      </c>
      <c r="G3" s="17">
        <v>7</v>
      </c>
      <c r="H3" s="17" t="s">
        <v>64</v>
      </c>
      <c r="I3" s="10" t="s">
        <v>215</v>
      </c>
      <c r="J3" s="17">
        <v>20</v>
      </c>
      <c r="K3" s="17">
        <v>58</v>
      </c>
      <c r="L3" s="17" t="s">
        <v>8</v>
      </c>
      <c r="M3" s="17" t="s">
        <v>66</v>
      </c>
      <c r="N3" s="17" t="s">
        <v>67</v>
      </c>
      <c r="O3" s="17" t="s">
        <v>68</v>
      </c>
      <c r="P3" s="17" t="s">
        <v>69</v>
      </c>
      <c r="Q3" s="10" t="s">
        <v>70</v>
      </c>
      <c r="R3" s="17">
        <v>1</v>
      </c>
      <c r="S3" s="17" t="s">
        <v>69</v>
      </c>
      <c r="T3" s="17" t="s">
        <v>71</v>
      </c>
      <c r="U3" s="17" t="s">
        <v>67</v>
      </c>
      <c r="V3" s="17" t="s">
        <v>68</v>
      </c>
      <c r="W3" s="17" t="s">
        <v>69</v>
      </c>
      <c r="X3" s="17" t="s">
        <v>72</v>
      </c>
      <c r="Y3" s="17">
        <v>1</v>
      </c>
      <c r="Z3" s="17" t="s">
        <v>69</v>
      </c>
      <c r="AA3" s="17" t="s">
        <v>73</v>
      </c>
      <c r="AB3" s="17" t="s">
        <v>67</v>
      </c>
      <c r="AC3" s="17" t="s">
        <v>68</v>
      </c>
      <c r="AD3" s="17" t="s">
        <v>74</v>
      </c>
      <c r="AE3" s="17" t="s">
        <v>75</v>
      </c>
      <c r="AF3" s="17">
        <v>0</v>
      </c>
      <c r="AG3" s="17" t="s">
        <v>69</v>
      </c>
      <c r="AH3" s="17" t="s">
        <v>77</v>
      </c>
      <c r="AI3" s="10" t="s">
        <v>78</v>
      </c>
      <c r="AJ3" s="17" t="s">
        <v>68</v>
      </c>
      <c r="AK3" s="17" t="s">
        <v>69</v>
      </c>
      <c r="AL3" s="17" t="s">
        <v>79</v>
      </c>
      <c r="AM3" s="17">
        <v>0</v>
      </c>
      <c r="AN3" s="17" t="s">
        <v>74</v>
      </c>
      <c r="AO3" s="17" t="s">
        <v>80</v>
      </c>
      <c r="AP3" s="17" t="s">
        <v>67</v>
      </c>
      <c r="AQ3" s="17" t="s">
        <v>68</v>
      </c>
      <c r="AR3" s="17" t="s">
        <v>74</v>
      </c>
      <c r="AS3" s="10" t="s">
        <v>81</v>
      </c>
      <c r="AT3" s="17">
        <v>0</v>
      </c>
      <c r="AU3" s="17" t="s">
        <v>105</v>
      </c>
      <c r="AV3" s="17" t="s">
        <v>82</v>
      </c>
      <c r="AW3" s="10" t="s">
        <v>78</v>
      </c>
      <c r="AX3" s="17" t="s">
        <v>68</v>
      </c>
      <c r="AY3" s="17" t="s">
        <v>69</v>
      </c>
      <c r="AZ3" s="17" t="s">
        <v>83</v>
      </c>
      <c r="BA3" s="17">
        <v>0</v>
      </c>
      <c r="BB3" s="17" t="s">
        <v>76</v>
      </c>
      <c r="BC3" s="17" t="s">
        <v>84</v>
      </c>
      <c r="BD3" s="10" t="s">
        <v>78</v>
      </c>
      <c r="BE3" s="17" t="s">
        <v>68</v>
      </c>
      <c r="BF3" s="17" t="s">
        <v>76</v>
      </c>
      <c r="BG3" s="10" t="s">
        <v>85</v>
      </c>
      <c r="BH3" s="17">
        <v>1</v>
      </c>
      <c r="BI3" s="17" t="s">
        <v>76</v>
      </c>
      <c r="BJ3" s="17" t="s">
        <v>86</v>
      </c>
      <c r="BK3" s="10" t="s">
        <v>78</v>
      </c>
      <c r="BL3" s="17" t="s">
        <v>68</v>
      </c>
      <c r="BM3" s="17" t="s">
        <v>74</v>
      </c>
      <c r="BN3" s="10" t="s">
        <v>87</v>
      </c>
      <c r="BO3" s="17">
        <v>0</v>
      </c>
      <c r="BP3" s="17" t="s">
        <v>69</v>
      </c>
      <c r="BQ3" s="17" t="s">
        <v>88</v>
      </c>
      <c r="BR3" s="10" t="s">
        <v>78</v>
      </c>
      <c r="BS3" s="17" t="s">
        <v>68</v>
      </c>
      <c r="BT3" s="17" t="s">
        <v>69</v>
      </c>
      <c r="BU3" s="17" t="s">
        <v>89</v>
      </c>
      <c r="BV3" s="17">
        <v>1</v>
      </c>
      <c r="BW3" s="17" t="s">
        <v>69</v>
      </c>
      <c r="BX3" s="17" t="s">
        <v>90</v>
      </c>
      <c r="BY3" s="10" t="s">
        <v>78</v>
      </c>
      <c r="BZ3" s="17" t="s">
        <v>68</v>
      </c>
      <c r="CA3" s="17" t="s">
        <v>69</v>
      </c>
      <c r="CB3" s="10" t="s">
        <v>91</v>
      </c>
      <c r="CC3" s="17">
        <v>0</v>
      </c>
      <c r="CD3" s="17" t="s">
        <v>105</v>
      </c>
      <c r="CE3" s="17" t="s">
        <v>92</v>
      </c>
      <c r="CF3" s="10" t="s">
        <v>93</v>
      </c>
      <c r="CG3" s="17" t="s">
        <v>68</v>
      </c>
      <c r="CH3" s="17" t="s">
        <v>69</v>
      </c>
      <c r="CI3" s="10" t="s">
        <v>94</v>
      </c>
      <c r="CJ3" s="17">
        <v>0</v>
      </c>
      <c r="CK3" s="17" t="s">
        <v>76</v>
      </c>
      <c r="CL3" s="17" t="s">
        <v>95</v>
      </c>
      <c r="CM3" s="10" t="s">
        <v>93</v>
      </c>
      <c r="CN3" s="17" t="s">
        <v>68</v>
      </c>
      <c r="CO3" s="17" t="s">
        <v>69</v>
      </c>
      <c r="CP3" s="10" t="s">
        <v>96</v>
      </c>
      <c r="CQ3" s="17">
        <v>0</v>
      </c>
      <c r="CR3" s="17" t="s">
        <v>105</v>
      </c>
      <c r="CS3" s="17" t="s">
        <v>97</v>
      </c>
      <c r="CT3" s="10" t="s">
        <v>78</v>
      </c>
      <c r="CU3" s="17" t="s">
        <v>68</v>
      </c>
      <c r="CV3" s="17" t="s">
        <v>74</v>
      </c>
      <c r="CW3" s="10" t="s">
        <v>98</v>
      </c>
      <c r="CX3" s="17">
        <v>0</v>
      </c>
      <c r="CY3" s="17" t="s">
        <v>76</v>
      </c>
      <c r="CZ3" s="17" t="s">
        <v>99</v>
      </c>
      <c r="DA3" s="10" t="s">
        <v>93</v>
      </c>
      <c r="DB3" s="17" t="s">
        <v>68</v>
      </c>
      <c r="DC3" s="17" t="s">
        <v>69</v>
      </c>
      <c r="DD3" s="17" t="s">
        <v>100</v>
      </c>
      <c r="DE3" s="17">
        <v>0</v>
      </c>
      <c r="DF3" s="17" t="s">
        <v>74</v>
      </c>
      <c r="DG3" s="17" t="s">
        <v>101</v>
      </c>
      <c r="DH3" s="10" t="s">
        <v>93</v>
      </c>
      <c r="DI3" s="17" t="s">
        <v>68</v>
      </c>
      <c r="DJ3" s="17" t="s">
        <v>69</v>
      </c>
      <c r="DK3" s="10" t="s">
        <v>102</v>
      </c>
      <c r="DL3" s="17">
        <v>1</v>
      </c>
      <c r="DM3" s="17" t="s">
        <v>69</v>
      </c>
      <c r="DN3">
        <f t="shared" si="0"/>
        <v>5</v>
      </c>
      <c r="DO3" s="8">
        <f t="shared" si="1"/>
        <v>0.33333333333333331</v>
      </c>
    </row>
    <row r="6" spans="1:119" ht="18" x14ac:dyDescent="0.35">
      <c r="A6" s="33" t="s">
        <v>231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</row>
    <row r="10" spans="1:119" ht="21" x14ac:dyDescent="0.3">
      <c r="A10" s="32" t="s">
        <v>232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2" spans="1:119" ht="28.8" x14ac:dyDescent="0.3">
      <c r="A12" s="20" t="s">
        <v>2</v>
      </c>
      <c r="B12" s="20" t="s">
        <v>178</v>
      </c>
      <c r="C12" s="20" t="s">
        <v>167</v>
      </c>
      <c r="D12" s="20" t="s">
        <v>163</v>
      </c>
      <c r="L12" s="16" t="s">
        <v>2</v>
      </c>
      <c r="M12" s="16" t="s">
        <v>236</v>
      </c>
      <c r="N12" s="16" t="s">
        <v>237</v>
      </c>
    </row>
    <row r="13" spans="1:119" x14ac:dyDescent="0.3">
      <c r="A13" s="10" t="s">
        <v>6</v>
      </c>
      <c r="B13" s="10">
        <v>15</v>
      </c>
      <c r="C13" s="10">
        <v>8</v>
      </c>
      <c r="D13" s="12">
        <v>0.53</v>
      </c>
      <c r="L13" s="10" t="s">
        <v>6</v>
      </c>
      <c r="M13" s="12">
        <v>0.53</v>
      </c>
      <c r="N13" s="12">
        <v>0.53</v>
      </c>
    </row>
    <row r="14" spans="1:119" x14ac:dyDescent="0.3">
      <c r="A14" s="10" t="s">
        <v>7</v>
      </c>
      <c r="B14" s="10">
        <v>15</v>
      </c>
      <c r="C14" s="10">
        <v>7</v>
      </c>
      <c r="D14" s="12">
        <v>0.47</v>
      </c>
      <c r="L14" s="10" t="s">
        <v>7</v>
      </c>
      <c r="M14" s="12">
        <v>0.47</v>
      </c>
      <c r="N14" s="12">
        <v>7.0000000000000007E-2</v>
      </c>
    </row>
    <row r="15" spans="1:119" x14ac:dyDescent="0.3">
      <c r="A15" s="10" t="s">
        <v>8</v>
      </c>
      <c r="B15" s="10">
        <v>15</v>
      </c>
      <c r="C15" s="10">
        <v>5</v>
      </c>
      <c r="D15" s="12">
        <v>0.33</v>
      </c>
      <c r="L15" s="10" t="s">
        <v>8</v>
      </c>
      <c r="M15" s="12">
        <v>0.33</v>
      </c>
      <c r="N15" s="12">
        <v>0.67</v>
      </c>
    </row>
    <row r="16" spans="1:119" x14ac:dyDescent="0.3">
      <c r="A16" s="15" t="s">
        <v>164</v>
      </c>
      <c r="B16" s="10">
        <v>45</v>
      </c>
      <c r="C16" s="10">
        <v>20</v>
      </c>
      <c r="D16" s="19">
        <v>0.44</v>
      </c>
      <c r="L16" s="10" t="s">
        <v>164</v>
      </c>
      <c r="M16" s="12">
        <v>0.44</v>
      </c>
      <c r="N16" s="12">
        <v>0.42</v>
      </c>
    </row>
    <row r="19" spans="1:23" ht="21" x14ac:dyDescent="0.3">
      <c r="A19" s="32" t="s">
        <v>174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1" spans="1:23" ht="18" x14ac:dyDescent="0.3">
      <c r="A21" s="31" t="s">
        <v>6</v>
      </c>
      <c r="B21" s="31"/>
      <c r="C21" s="31"/>
      <c r="D21" s="31"/>
      <c r="F21" s="31" t="s">
        <v>7</v>
      </c>
      <c r="G21" s="31"/>
      <c r="H21" s="31"/>
      <c r="I21" s="31"/>
      <c r="K21" s="31" t="s">
        <v>8</v>
      </c>
      <c r="L21" s="31"/>
      <c r="M21" s="31"/>
      <c r="N21" s="31"/>
    </row>
    <row r="22" spans="1:23" x14ac:dyDescent="0.3">
      <c r="A22" s="20" t="s">
        <v>165</v>
      </c>
      <c r="B22" s="20" t="s">
        <v>166</v>
      </c>
      <c r="C22" s="20" t="s">
        <v>167</v>
      </c>
      <c r="D22" s="20" t="s">
        <v>168</v>
      </c>
      <c r="F22" s="20" t="s">
        <v>165</v>
      </c>
      <c r="G22" s="20" t="s">
        <v>166</v>
      </c>
      <c r="H22" s="20" t="s">
        <v>167</v>
      </c>
      <c r="I22" s="20" t="s">
        <v>168</v>
      </c>
      <c r="K22" s="20" t="s">
        <v>165</v>
      </c>
      <c r="L22" s="20" t="s">
        <v>166</v>
      </c>
      <c r="M22" s="20" t="s">
        <v>167</v>
      </c>
      <c r="N22" s="20" t="s">
        <v>168</v>
      </c>
    </row>
    <row r="23" spans="1:23" x14ac:dyDescent="0.3">
      <c r="A23" s="10" t="s">
        <v>169</v>
      </c>
      <c r="B23" s="10">
        <v>6</v>
      </c>
      <c r="C23" s="10">
        <v>4</v>
      </c>
      <c r="D23" s="12">
        <v>0.67</v>
      </c>
      <c r="F23" s="10" t="s">
        <v>169</v>
      </c>
      <c r="G23" s="10">
        <v>4</v>
      </c>
      <c r="H23" s="10">
        <v>2</v>
      </c>
      <c r="I23" s="12">
        <v>0.5</v>
      </c>
      <c r="K23" s="10" t="s">
        <v>169</v>
      </c>
      <c r="L23" s="10">
        <v>4</v>
      </c>
      <c r="M23" s="10">
        <v>2</v>
      </c>
      <c r="N23" s="12">
        <v>0.5</v>
      </c>
    </row>
    <row r="24" spans="1:23" x14ac:dyDescent="0.3">
      <c r="A24" s="10" t="s">
        <v>170</v>
      </c>
      <c r="B24" s="10">
        <v>6</v>
      </c>
      <c r="C24" s="10">
        <v>2</v>
      </c>
      <c r="D24" s="12">
        <v>0.33</v>
      </c>
      <c r="F24" s="10" t="s">
        <v>170</v>
      </c>
      <c r="G24" s="10">
        <v>6</v>
      </c>
      <c r="H24" s="10">
        <v>3</v>
      </c>
      <c r="I24" s="12">
        <v>0.5</v>
      </c>
      <c r="K24" s="10" t="s">
        <v>170</v>
      </c>
      <c r="L24" s="10">
        <v>6</v>
      </c>
      <c r="M24" s="10">
        <v>1</v>
      </c>
      <c r="N24" s="12">
        <v>0.17</v>
      </c>
    </row>
    <row r="25" spans="1:23" x14ac:dyDescent="0.3">
      <c r="A25" s="10" t="s">
        <v>171</v>
      </c>
      <c r="B25" s="10">
        <v>3</v>
      </c>
      <c r="C25" s="10">
        <v>1</v>
      </c>
      <c r="D25" s="12">
        <v>0.33</v>
      </c>
      <c r="F25" s="10" t="s">
        <v>171</v>
      </c>
      <c r="G25" s="10">
        <v>5</v>
      </c>
      <c r="H25" s="10">
        <v>2</v>
      </c>
      <c r="I25" s="12">
        <v>0.4</v>
      </c>
      <c r="K25" s="10" t="s">
        <v>171</v>
      </c>
      <c r="L25" s="10">
        <v>5</v>
      </c>
      <c r="M25" s="10">
        <v>2</v>
      </c>
      <c r="N25" s="12">
        <v>0.4</v>
      </c>
    </row>
    <row r="28" spans="1:23" ht="21" x14ac:dyDescent="0.3">
      <c r="A28" s="32" t="s">
        <v>233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</row>
    <row r="32" spans="1:23" ht="18" x14ac:dyDescent="0.3">
      <c r="A32" s="31" t="s">
        <v>6</v>
      </c>
      <c r="B32" s="31"/>
      <c r="C32" s="31"/>
      <c r="D32" s="31"/>
      <c r="F32" s="31" t="s">
        <v>7</v>
      </c>
      <c r="G32" s="31"/>
      <c r="H32" s="31"/>
      <c r="I32" s="31"/>
      <c r="K32" s="31" t="s">
        <v>8</v>
      </c>
      <c r="L32" s="31"/>
      <c r="M32" s="31"/>
      <c r="N32" s="31"/>
    </row>
    <row r="33" spans="1:14" x14ac:dyDescent="0.3">
      <c r="A33" s="20" t="s">
        <v>220</v>
      </c>
      <c r="B33" s="20" t="s">
        <v>166</v>
      </c>
      <c r="C33" s="20" t="s">
        <v>167</v>
      </c>
      <c r="D33" s="20" t="s">
        <v>168</v>
      </c>
      <c r="F33" s="20" t="s">
        <v>220</v>
      </c>
      <c r="G33" s="20" t="s">
        <v>166</v>
      </c>
      <c r="H33" s="20" t="s">
        <v>167</v>
      </c>
      <c r="I33" s="20" t="s">
        <v>168</v>
      </c>
      <c r="K33" s="20" t="s">
        <v>220</v>
      </c>
      <c r="L33" s="20" t="s">
        <v>166</v>
      </c>
      <c r="M33" s="20" t="s">
        <v>167</v>
      </c>
      <c r="N33" s="20" t="s">
        <v>168</v>
      </c>
    </row>
    <row r="34" spans="1:14" ht="28.8" x14ac:dyDescent="0.3">
      <c r="A34" s="10" t="s">
        <v>221</v>
      </c>
      <c r="B34" s="10">
        <v>1</v>
      </c>
      <c r="C34" s="10">
        <v>1</v>
      </c>
      <c r="D34" s="12">
        <v>1</v>
      </c>
      <c r="F34" s="10" t="s">
        <v>225</v>
      </c>
      <c r="G34" s="10">
        <v>2</v>
      </c>
      <c r="H34" s="10">
        <v>2</v>
      </c>
      <c r="I34" s="12">
        <v>1</v>
      </c>
      <c r="K34" s="10" t="s">
        <v>200</v>
      </c>
      <c r="L34" s="10">
        <v>1</v>
      </c>
      <c r="M34" s="10">
        <v>1</v>
      </c>
      <c r="N34" s="12">
        <v>1</v>
      </c>
    </row>
    <row r="35" spans="1:14" x14ac:dyDescent="0.3">
      <c r="A35" s="10" t="s">
        <v>222</v>
      </c>
      <c r="B35" s="10">
        <v>1</v>
      </c>
      <c r="C35" s="10">
        <v>0</v>
      </c>
      <c r="D35" s="12">
        <v>0</v>
      </c>
      <c r="F35" s="10" t="s">
        <v>226</v>
      </c>
      <c r="G35" s="10">
        <v>3</v>
      </c>
      <c r="H35" s="10">
        <v>1</v>
      </c>
      <c r="I35" s="12">
        <v>0.33</v>
      </c>
      <c r="K35" s="10" t="s">
        <v>201</v>
      </c>
      <c r="L35" s="10">
        <v>1</v>
      </c>
      <c r="M35" s="10">
        <v>1</v>
      </c>
      <c r="N35" s="12">
        <v>1</v>
      </c>
    </row>
    <row r="36" spans="1:14" x14ac:dyDescent="0.3">
      <c r="A36" s="10" t="s">
        <v>181</v>
      </c>
      <c r="B36" s="10">
        <v>2</v>
      </c>
      <c r="C36" s="10">
        <v>1</v>
      </c>
      <c r="D36" s="12">
        <v>0.5</v>
      </c>
      <c r="F36" s="10" t="s">
        <v>192</v>
      </c>
      <c r="G36" s="10">
        <v>1</v>
      </c>
      <c r="H36" s="10">
        <v>1</v>
      </c>
      <c r="I36" s="12">
        <v>1</v>
      </c>
      <c r="K36" s="10" t="s">
        <v>75</v>
      </c>
      <c r="L36" s="10">
        <v>1</v>
      </c>
      <c r="M36" s="10">
        <v>0</v>
      </c>
      <c r="N36" s="12">
        <v>0</v>
      </c>
    </row>
    <row r="37" spans="1:14" x14ac:dyDescent="0.3">
      <c r="A37" s="10" t="s">
        <v>182</v>
      </c>
      <c r="B37" s="10">
        <v>1</v>
      </c>
      <c r="C37" s="10">
        <v>1</v>
      </c>
      <c r="D37" s="12">
        <v>1</v>
      </c>
      <c r="F37" s="10" t="s">
        <v>193</v>
      </c>
      <c r="G37" s="10">
        <v>1</v>
      </c>
      <c r="H37" s="10">
        <v>1</v>
      </c>
      <c r="I37" s="12">
        <v>1</v>
      </c>
      <c r="K37" s="10" t="s">
        <v>79</v>
      </c>
      <c r="L37" s="10">
        <v>1</v>
      </c>
      <c r="M37" s="10">
        <v>0</v>
      </c>
      <c r="N37" s="12">
        <v>0</v>
      </c>
    </row>
    <row r="38" spans="1:14" x14ac:dyDescent="0.3">
      <c r="A38" s="10" t="s">
        <v>223</v>
      </c>
      <c r="B38" s="10">
        <v>2</v>
      </c>
      <c r="C38" s="10">
        <v>0</v>
      </c>
      <c r="D38" s="12">
        <v>0</v>
      </c>
      <c r="F38" s="10" t="s">
        <v>194</v>
      </c>
      <c r="G38" s="10">
        <v>1</v>
      </c>
      <c r="H38" s="10">
        <v>0</v>
      </c>
      <c r="I38" s="12">
        <v>0</v>
      </c>
      <c r="K38" s="10" t="s">
        <v>81</v>
      </c>
      <c r="L38" s="10">
        <v>1</v>
      </c>
      <c r="M38" s="10">
        <v>0</v>
      </c>
      <c r="N38" s="12">
        <v>0</v>
      </c>
    </row>
    <row r="39" spans="1:14" x14ac:dyDescent="0.3">
      <c r="A39" s="10" t="s">
        <v>184</v>
      </c>
      <c r="B39" s="10">
        <v>1</v>
      </c>
      <c r="C39" s="10">
        <v>0</v>
      </c>
      <c r="D39" s="12">
        <v>0</v>
      </c>
      <c r="F39" s="10" t="s">
        <v>118</v>
      </c>
      <c r="G39" s="10">
        <v>1</v>
      </c>
      <c r="H39" s="10">
        <v>0</v>
      </c>
      <c r="I39" s="12">
        <v>0</v>
      </c>
      <c r="K39" s="10" t="s">
        <v>83</v>
      </c>
      <c r="L39" s="10">
        <v>1</v>
      </c>
      <c r="M39" s="10">
        <v>0</v>
      </c>
      <c r="N39" s="12">
        <v>0</v>
      </c>
    </row>
    <row r="40" spans="1:14" x14ac:dyDescent="0.3">
      <c r="A40" s="10" t="s">
        <v>185</v>
      </c>
      <c r="B40" s="10">
        <v>1</v>
      </c>
      <c r="C40" s="10">
        <v>1</v>
      </c>
      <c r="D40" s="12">
        <v>1</v>
      </c>
      <c r="F40" s="10" t="s">
        <v>227</v>
      </c>
      <c r="G40" s="10">
        <v>1</v>
      </c>
      <c r="H40" s="10">
        <v>0</v>
      </c>
      <c r="I40" s="12">
        <v>0</v>
      </c>
      <c r="K40" s="10" t="s">
        <v>230</v>
      </c>
      <c r="L40" s="10">
        <v>1</v>
      </c>
      <c r="M40" s="10">
        <v>1</v>
      </c>
      <c r="N40" s="12">
        <v>1</v>
      </c>
    </row>
    <row r="41" spans="1:14" x14ac:dyDescent="0.3">
      <c r="A41" s="10" t="s">
        <v>224</v>
      </c>
      <c r="B41" s="10">
        <v>1</v>
      </c>
      <c r="C41" s="10">
        <v>1</v>
      </c>
      <c r="D41" s="12">
        <v>1</v>
      </c>
      <c r="F41" s="10" t="s">
        <v>122</v>
      </c>
      <c r="G41" s="10">
        <v>1</v>
      </c>
      <c r="H41" s="10">
        <v>1</v>
      </c>
      <c r="I41" s="12">
        <v>1</v>
      </c>
      <c r="K41" s="10" t="s">
        <v>203</v>
      </c>
      <c r="L41" s="10">
        <v>1</v>
      </c>
      <c r="M41" s="10">
        <v>0</v>
      </c>
      <c r="N41" s="12">
        <v>0</v>
      </c>
    </row>
    <row r="42" spans="1:14" x14ac:dyDescent="0.3">
      <c r="A42" s="10" t="s">
        <v>152</v>
      </c>
      <c r="B42" s="10">
        <v>1</v>
      </c>
      <c r="C42" s="10">
        <v>0</v>
      </c>
      <c r="D42" s="12">
        <v>0</v>
      </c>
      <c r="F42" s="10" t="s">
        <v>228</v>
      </c>
      <c r="G42" s="10">
        <v>1</v>
      </c>
      <c r="H42" s="10">
        <v>0</v>
      </c>
      <c r="I42" s="12">
        <v>0</v>
      </c>
      <c r="K42" s="10" t="s">
        <v>204</v>
      </c>
      <c r="L42" s="10">
        <v>1</v>
      </c>
      <c r="M42" s="10">
        <v>1</v>
      </c>
      <c r="N42" s="12">
        <v>1</v>
      </c>
    </row>
    <row r="43" spans="1:14" x14ac:dyDescent="0.3">
      <c r="A43" s="10" t="s">
        <v>154</v>
      </c>
      <c r="B43" s="10">
        <v>1</v>
      </c>
      <c r="C43" s="10">
        <v>1</v>
      </c>
      <c r="D43" s="12">
        <v>1</v>
      </c>
      <c r="F43" s="10" t="s">
        <v>197</v>
      </c>
      <c r="G43" s="10">
        <v>1</v>
      </c>
      <c r="H43" s="10">
        <v>0</v>
      </c>
      <c r="I43" s="12">
        <v>0</v>
      </c>
      <c r="K43" s="10" t="s">
        <v>205</v>
      </c>
      <c r="L43" s="10">
        <v>1</v>
      </c>
      <c r="M43" s="10">
        <v>0</v>
      </c>
      <c r="N43" s="12">
        <v>0</v>
      </c>
    </row>
    <row r="44" spans="1:14" x14ac:dyDescent="0.3">
      <c r="A44" s="10" t="s">
        <v>156</v>
      </c>
      <c r="B44" s="10">
        <v>1</v>
      </c>
      <c r="C44" s="10">
        <v>1</v>
      </c>
      <c r="D44" s="12">
        <v>1</v>
      </c>
      <c r="F44" s="10" t="s">
        <v>229</v>
      </c>
      <c r="G44" s="10">
        <v>1</v>
      </c>
      <c r="H44" s="10">
        <v>0</v>
      </c>
      <c r="I44" s="12">
        <v>0</v>
      </c>
      <c r="K44" s="10" t="s">
        <v>206</v>
      </c>
      <c r="L44" s="10">
        <v>1</v>
      </c>
      <c r="M44" s="10">
        <v>0</v>
      </c>
      <c r="N44" s="12">
        <v>0</v>
      </c>
    </row>
    <row r="45" spans="1:14" x14ac:dyDescent="0.3">
      <c r="A45" s="10" t="s">
        <v>158</v>
      </c>
      <c r="B45" s="10">
        <v>1</v>
      </c>
      <c r="C45" s="10">
        <v>1</v>
      </c>
      <c r="D45" s="12">
        <v>1</v>
      </c>
      <c r="F45" s="10" t="s">
        <v>199</v>
      </c>
      <c r="G45" s="10">
        <v>1</v>
      </c>
      <c r="H45" s="10">
        <v>1</v>
      </c>
      <c r="I45" s="12">
        <v>1</v>
      </c>
      <c r="K45" s="10" t="s">
        <v>207</v>
      </c>
      <c r="L45" s="10">
        <v>1</v>
      </c>
      <c r="M45" s="10">
        <v>0</v>
      </c>
      <c r="N45" s="12">
        <v>0</v>
      </c>
    </row>
    <row r="46" spans="1:14" x14ac:dyDescent="0.3">
      <c r="A46" s="10" t="s">
        <v>160</v>
      </c>
      <c r="B46" s="10">
        <v>1</v>
      </c>
      <c r="C46" s="10">
        <v>0</v>
      </c>
      <c r="D46" s="12">
        <v>0</v>
      </c>
      <c r="K46" s="10" t="s">
        <v>208</v>
      </c>
      <c r="L46" s="10">
        <v>1</v>
      </c>
      <c r="M46" s="10">
        <v>0</v>
      </c>
      <c r="N46" s="12">
        <v>0</v>
      </c>
    </row>
    <row r="47" spans="1:14" x14ac:dyDescent="0.3">
      <c r="K47" s="10" t="s">
        <v>100</v>
      </c>
      <c r="L47" s="10">
        <v>1</v>
      </c>
      <c r="M47" s="10">
        <v>0</v>
      </c>
      <c r="N47" s="12">
        <v>0</v>
      </c>
    </row>
    <row r="48" spans="1:14" x14ac:dyDescent="0.3">
      <c r="K48" s="10" t="s">
        <v>209</v>
      </c>
      <c r="L48" s="10">
        <v>1</v>
      </c>
      <c r="M48" s="10">
        <v>1</v>
      </c>
      <c r="N48" s="12">
        <v>1</v>
      </c>
    </row>
    <row r="64" spans="1:1" ht="23.4" x14ac:dyDescent="0.3">
      <c r="A64" s="18"/>
    </row>
    <row r="81" spans="1:1" ht="23.4" x14ac:dyDescent="0.3">
      <c r="A81" s="18"/>
    </row>
  </sheetData>
  <mergeCells count="10">
    <mergeCell ref="A28:W28"/>
    <mergeCell ref="A32:D32"/>
    <mergeCell ref="F32:I32"/>
    <mergeCell ref="K32:N32"/>
    <mergeCell ref="A6:W6"/>
    <mergeCell ref="A10:W10"/>
    <mergeCell ref="A19:W19"/>
    <mergeCell ref="A21:D21"/>
    <mergeCell ref="F21:I21"/>
    <mergeCell ref="K21:N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Sheet1</vt:lpstr>
      <vt:lpstr>Sheet3</vt:lpstr>
      <vt:lpstr>Sheet2</vt:lpstr>
      <vt:lpstr>Under field-manager session_dig</vt:lpstr>
      <vt:lpstr>absense of field manager_siddip</vt:lpstr>
      <vt:lpstr>Under field-manager session sid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2026-02-23T08:41:19Z</dcterms:created>
  <dcterms:modified xsi:type="dcterms:W3CDTF">2026-02-25T11:51:50Z</dcterms:modified>
</cp:coreProperties>
</file>